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ell\Downloads\"/>
    </mc:Choice>
  </mc:AlternateContent>
  <xr:revisionPtr revIDLastSave="0" documentId="13_ncr:1_{CCFF83AB-A0E4-4300-88D1-317A2C9D67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_Data" sheetId="1" r:id="rId1"/>
    <sheet name="Unit_Daily" sheetId="6" r:id="rId2"/>
    <sheet name="Daily_Station_Summary" sheetId="2" r:id="rId3"/>
    <sheet name="Unit_Reference" sheetId="3" r:id="rId4"/>
    <sheet name="Data_Quality" sheetId="4" r:id="rId5"/>
    <sheet name="READM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sharedStrings.xml><?xml version="1.0" encoding="utf-8"?>
<sst xmlns="http://schemas.openxmlformats.org/spreadsheetml/2006/main" count="1232" uniqueCount="124">
  <si>
    <t>Date</t>
  </si>
  <si>
    <t>Power Station</t>
  </si>
  <si>
    <t>Record Type</t>
  </si>
  <si>
    <t>Unit</t>
  </si>
  <si>
    <t>Status</t>
  </si>
  <si>
    <t>Monitored Capacity (MW)</t>
  </si>
  <si>
    <t>Today's Program (MU)</t>
  </si>
  <si>
    <t>Today's Actual (MU)</t>
  </si>
  <si>
    <t>April 1 Till Date Program (MU)</t>
  </si>
  <si>
    <t>April 1 Till Date Actual (MU)</t>
  </si>
  <si>
    <t>Coal Stock (Days)</t>
  </si>
  <si>
    <t>Capacity Under Outage (MW)</t>
  </si>
  <si>
    <t>Outage Date</t>
  </si>
  <si>
    <t>Expected/Sync Date</t>
  </si>
  <si>
    <t>Remarks</t>
  </si>
  <si>
    <t>Generation Variance (MU)</t>
  </si>
  <si>
    <t>Program Achievement (%)</t>
  </si>
  <si>
    <t>Source File</t>
  </si>
  <si>
    <t>KOTA TPS</t>
  </si>
  <si>
    <t>Station</t>
  </si>
  <si>
    <t>dgr2-2026-06-06.xls</t>
  </si>
  <si>
    <t>dgr2-2026-06-07.xls</t>
  </si>
  <si>
    <t>dgr2-2026-06-08.xls</t>
  </si>
  <si>
    <t>dgr2-2026-06-09.xls</t>
  </si>
  <si>
    <t>dgr2-2026-06-10.xls</t>
  </si>
  <si>
    <t>dgr2-2026-06-11.xls</t>
  </si>
  <si>
    <t>dgr2-2026-06-12.xls</t>
  </si>
  <si>
    <t>dgr2-2026-06-13.xls</t>
  </si>
  <si>
    <t>dgr2-2026-06-14.xls</t>
  </si>
  <si>
    <t>dgr2-2026-06-15.xls</t>
  </si>
  <si>
    <t>dgr2-2026-06-16.xls</t>
  </si>
  <si>
    <t>dgr2-2026-06-17.xls</t>
  </si>
  <si>
    <t>dgr2-2026-06-18.xls</t>
  </si>
  <si>
    <t>dgr2-2026-06-19.xls</t>
  </si>
  <si>
    <t>dgr2-2026-06-20.xls</t>
  </si>
  <si>
    <t>dgr2-2026-06-21.xls</t>
  </si>
  <si>
    <t>dgr2-2026-06-22.xls</t>
  </si>
  <si>
    <t>dgr2-2026-06-23.xls</t>
  </si>
  <si>
    <t>dgr2-2026-06-24.xls</t>
  </si>
  <si>
    <t>dgr2-2026-06-25.xls</t>
  </si>
  <si>
    <t>dgr2-2026-06-26.xls</t>
  </si>
  <si>
    <t>dgr2-2026-06-27.xls</t>
  </si>
  <si>
    <t>dgr2-2026-06-28.xls</t>
  </si>
  <si>
    <t>dgr2-2026-06-29.xls</t>
  </si>
  <si>
    <t>dgr2-2026-06-30.xls</t>
  </si>
  <si>
    <t>S</t>
  </si>
  <si>
    <t>AIR PREHEATERS PROBLEM</t>
  </si>
  <si>
    <t>dgr2-2026-07-01.xls</t>
  </si>
  <si>
    <t>*</t>
  </si>
  <si>
    <t>dgr2-2026-07-02.xls</t>
  </si>
  <si>
    <t>dgr2-2026-07-03.xls</t>
  </si>
  <si>
    <t>dgr2-2026-07-04.xls</t>
  </si>
  <si>
    <t>dgr2-2026-07-05.xls</t>
  </si>
  <si>
    <t>TURBINE BEARING PROBLEM</t>
  </si>
  <si>
    <t>dgr2-2026-07-06.xls</t>
  </si>
  <si>
    <t>ELECTRICAL MISCELLANEOUS PROBLEMS</t>
  </si>
  <si>
    <t>dgr2-2026-07-07.xls</t>
  </si>
  <si>
    <t>dgr2-2026-07-08.xls</t>
  </si>
  <si>
    <t>dgr2-2026-07-09.xls</t>
  </si>
  <si>
    <t>GENERATOR MISCLLANEOUS MAINTENANCE</t>
  </si>
  <si>
    <t>dgr2-2026-07-10.xls</t>
  </si>
  <si>
    <t>dgr2-2026-07-11.xls</t>
  </si>
  <si>
    <t>dgr2-2026-07-12.xls</t>
  </si>
  <si>
    <t>dgr2-2026-07-13.xls</t>
  </si>
  <si>
    <t>dgr2-2026-07-14.xls</t>
  </si>
  <si>
    <t>dgr2-2026-07-15.xls</t>
  </si>
  <si>
    <t>TURBINE MISC. PROBLEM</t>
  </si>
  <si>
    <t>BOILER MISC. PROBLEM</t>
  </si>
  <si>
    <t>dgr2-2026-07-16.xls</t>
  </si>
  <si>
    <t>dgr2-2026-07-17.xls</t>
  </si>
  <si>
    <t>dgr2-2026-07-18.xls</t>
  </si>
  <si>
    <t>TURBINE VIBRATIONS HIGH</t>
  </si>
  <si>
    <t>dgr2-2026-07-19.xls</t>
  </si>
  <si>
    <t>dgr2-2026-07-20.xls</t>
  </si>
  <si>
    <t>Capacity (MW)</t>
  </si>
  <si>
    <t>Program (MU)</t>
  </si>
  <si>
    <t>Actual (MU)</t>
  </si>
  <si>
    <t>Variance (MU)</t>
  </si>
  <si>
    <t>Outage Capacity (MW)</t>
  </si>
  <si>
    <t>Unit 1</t>
  </si>
  <si>
    <t>Unit 2</t>
  </si>
  <si>
    <t>Unit 3</t>
  </si>
  <si>
    <t>Unit 4</t>
  </si>
  <si>
    <t>Unit 5</t>
  </si>
  <si>
    <t>Unit 6</t>
  </si>
  <si>
    <t>Unit 7</t>
  </si>
  <si>
    <t>Station Total</t>
  </si>
  <si>
    <t>Check</t>
  </si>
  <si>
    <t>Result</t>
  </si>
  <si>
    <t>Expected date range</t>
  </si>
  <si>
    <t>06-Jun-2026 to 20-Jul-2026</t>
  </si>
  <si>
    <t>Expected daily files</t>
  </si>
  <si>
    <t>Daily files successfully parsed</t>
  </si>
  <si>
    <t>Expected Kota records (8 x 45)</t>
  </si>
  <si>
    <t>Kota records extracted</t>
  </si>
  <si>
    <t>Missing source files</t>
  </si>
  <si>
    <t>Data-quality flags</t>
  </si>
  <si>
    <t>Kota TPS Performance Analysis — Master Dataset</t>
  </si>
  <si>
    <t>Source</t>
  </si>
  <si>
    <t>National Power Portal (NPP) Report 02 daily generation reports</t>
  </si>
  <si>
    <t>Analysis Period</t>
  </si>
  <si>
    <t>06-Jun-2026 to 20-Jul-2026 (45 days)</t>
  </si>
  <si>
    <t>Purpose</t>
  </si>
  <si>
    <t>Consolidated station-level and unit-level dataset for Excel, SQL, Python and Power BI analysis.</t>
  </si>
  <si>
    <t>Record Structure</t>
  </si>
  <si>
    <t>1 station row + Units 1–7 for each daily report</t>
  </si>
  <si>
    <t>Generation Variance</t>
  </si>
  <si>
    <t>Today's Actual - Today's Program</t>
  </si>
  <si>
    <t>Program Achievement</t>
  </si>
  <si>
    <t>Today's Actual / Today's Program (blank when Program is zero)</t>
  </si>
  <si>
    <t>Important</t>
  </si>
  <si>
    <t>Program Achievement is not thermal efficiency.</t>
  </si>
  <si>
    <t>Data Integrity</t>
  </si>
  <si>
    <t>Raw source values are retained; derived KPIs are formula-based.</t>
  </si>
  <si>
    <t>Thermal efficiency / heat rate</t>
  </si>
  <si>
    <t>Not calculated because Report 02 does not contain the required heat/fuel input data.</t>
  </si>
  <si>
    <t>Next Step</t>
  </si>
  <si>
    <t>Use Daily_Station_Summary for trend analysis and Master_Data for unit/outage analysis.</t>
  </si>
  <si>
    <t>Capacity_MW</t>
  </si>
  <si>
    <t>Program_MU</t>
  </si>
  <si>
    <t>Actual_MU</t>
  </si>
  <si>
    <t>Outage_MW</t>
  </si>
  <si>
    <t>Outage_DateTime</t>
  </si>
  <si>
    <t>Sync_DateTime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</si>
</sst>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yy\ hh:mm"/>
    <numFmt numFmtId="166" formatCode="[$-F800]dddd\,\ mmmm\ dd\,\ 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137333"/>
      </font>
      <fill>
        <patternFill patternType="solid">
          <bgColor rgb="FFE6F4EA"/>
        </patternFill>
      </fill>
    </dxf>
    <dxf>
      <font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DataTable" displayName="MasterDataTable" ref="A1:R361" totalsRowShown="0">
  <autoFilter ref="A1:R361" xr:uid="{00000000-000C-0000-FFFF-FFFF00000000}">
    <filterColumn colId="2">
      <filters>
        <filter val="Unit"/>
      </filters>
    </filterColumn>
  </autoFilter>
  <tableColumns count="18">
    <tableColumn id="1" xr3:uid="{00000000-0010-0000-0000-000001000000}" name="Date"/>
    <tableColumn id="2" xr3:uid="{00000000-0010-0000-0000-000002000000}" name="Power Station"/>
    <tableColumn id="3" xr3:uid="{00000000-0010-0000-0000-000003000000}" name="Record Type"/>
    <tableColumn id="4" xr3:uid="{00000000-0010-0000-0000-000004000000}" name="Unit"/>
    <tableColumn id="5" xr3:uid="{00000000-0010-0000-0000-000005000000}" name="Status"/>
    <tableColumn id="6" xr3:uid="{00000000-0010-0000-0000-000006000000}" name="Monitored Capacity (MW)"/>
    <tableColumn id="7" xr3:uid="{00000000-0010-0000-0000-000007000000}" name="Today's Program (MU)"/>
    <tableColumn id="8" xr3:uid="{00000000-0010-0000-0000-000008000000}" name="Today's Actual (MU)"/>
    <tableColumn id="9" xr3:uid="{00000000-0010-0000-0000-000009000000}" name="April 1 Till Date Program (MU)"/>
    <tableColumn id="10" xr3:uid="{00000000-0010-0000-0000-00000A000000}" name="April 1 Till Date Actual (MU)"/>
    <tableColumn id="11" xr3:uid="{00000000-0010-0000-0000-00000B000000}" name="Coal Stock (Days)"/>
    <tableColumn id="12" xr3:uid="{00000000-0010-0000-0000-00000C000000}" name="Capacity Under Outage (MW)"/>
    <tableColumn id="13" xr3:uid="{00000000-0010-0000-0000-00000D000000}" name="Outage Date"/>
    <tableColumn id="14" xr3:uid="{00000000-0010-0000-0000-00000E000000}" name="Expected/Sync Date"/>
    <tableColumn id="15" xr3:uid="{00000000-0010-0000-0000-00000F000000}" name="Remarks"/>
    <tableColumn id="16" xr3:uid="{00000000-0010-0000-0000-000010000000}" name="Generation Variance (MU)"/>
    <tableColumn id="17" xr3:uid="{00000000-0010-0000-0000-000011000000}" name="Program Achievement (%)"/>
    <tableColumn id="18" xr3:uid="{00000000-0010-0000-0000-000012000000}" name="Source 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StationTable" displayName="DailyStationTable" ref="A1:I46" totalsRowShown="0">
  <tableColumns count="9">
    <tableColumn id="1" xr3:uid="{00000000-0010-0000-0100-000001000000}" name="Date"/>
    <tableColumn id="2" xr3:uid="{00000000-0010-0000-0100-000002000000}" name="Capacity (MW)"/>
    <tableColumn id="3" xr3:uid="{00000000-0010-0000-0100-000003000000}" name="Program (MU)"/>
    <tableColumn id="4" xr3:uid="{00000000-0010-0000-0100-000004000000}" name="Actual (MU)"/>
    <tableColumn id="5" xr3:uid="{00000000-0010-0000-0100-000005000000}" name="Variance (MU)"/>
    <tableColumn id="6" xr3:uid="{00000000-0010-0000-0100-000006000000}" name="Program Achievement (%)"/>
    <tableColumn id="7" xr3:uid="{00000000-0010-0000-0100-000007000000}" name="Coal Stock (Days)"/>
    <tableColumn id="8" xr3:uid="{00000000-0010-0000-0100-000008000000}" name="Outage Capacity (MW)"/>
    <tableColumn id="9" xr3:uid="{00000000-0010-0000-0100-000009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itReferenceTable" displayName="UnitReferenceTable" ref="A1:B9" totalsRowShown="0">
  <tableColumns count="2">
    <tableColumn id="1" xr3:uid="{00000000-0010-0000-0200-000001000000}" name="Unit"/>
    <tableColumn id="2" xr3:uid="{00000000-0010-0000-0200-000002000000}" name="Monitored Capacity (MW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1"/>
  <sheetViews>
    <sheetView topLeftCell="A302" zoomScale="88" workbookViewId="0">
      <selection sqref="A1:R361"/>
    </sheetView>
  </sheetViews>
  <sheetFormatPr defaultRowHeight="13.8"/>
  <cols>
    <col min="1" max="1" width="18.3984375" customWidth="1"/>
    <col min="2" max="3" width="24" customWidth="1"/>
    <col min="4" max="4" width="9.59765625" customWidth="1"/>
    <col min="5" max="5" width="12.59765625" customWidth="1"/>
    <col min="6" max="6" width="22.8984375" customWidth="1"/>
    <col min="7" max="7" width="19.8984375" customWidth="1"/>
    <col min="8" max="8" width="18.19921875" customWidth="1"/>
    <col min="9" max="9" width="26" customWidth="1"/>
    <col min="10" max="10" width="24.3984375" customWidth="1"/>
    <col min="11" max="11" width="16.09765625" customWidth="1"/>
    <col min="12" max="12" width="25.5" customWidth="1"/>
    <col min="13" max="13" width="14.3984375" customWidth="1"/>
    <col min="14" max="14" width="18.19921875" customWidth="1"/>
    <col min="15" max="15" width="36" customWidth="1"/>
    <col min="16" max="17" width="22.8984375" customWidth="1"/>
    <col min="18" max="18" width="24" customWidth="1"/>
  </cols>
  <sheetData>
    <row r="1" spans="1:18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2">
        <v>46179</v>
      </c>
      <c r="B2" s="3" t="s">
        <v>18</v>
      </c>
      <c r="C2" s="3" t="s">
        <v>19</v>
      </c>
      <c r="D2" s="3"/>
      <c r="E2" s="3"/>
      <c r="F2" s="4">
        <v>1240</v>
      </c>
      <c r="G2" s="4">
        <v>23.96</v>
      </c>
      <c r="H2" s="4">
        <v>22.22</v>
      </c>
      <c r="I2" s="4">
        <v>1596.7600000000002</v>
      </c>
      <c r="J2" s="4">
        <v>1148.25</v>
      </c>
      <c r="K2" s="4">
        <v>15</v>
      </c>
      <c r="L2" s="4">
        <v>0</v>
      </c>
      <c r="M2" s="5"/>
      <c r="N2" s="5"/>
      <c r="O2" s="3"/>
      <c r="P2" s="4">
        <f t="shared" ref="P2:P65" si="0">IF(OR(G2="",H2=""),"",H2-G2)</f>
        <v>-1.740000000000002</v>
      </c>
      <c r="Q2" s="6">
        <f t="shared" ref="Q2:Q65" si="1">IF(OR(G2="",G2=0,H2=""),"",H2/G2)</f>
        <v>0.92737896494156924</v>
      </c>
      <c r="R2" s="3" t="s">
        <v>20</v>
      </c>
    </row>
    <row r="3" spans="1:18">
      <c r="A3" s="2">
        <v>46179</v>
      </c>
      <c r="B3" s="3" t="s">
        <v>18</v>
      </c>
      <c r="C3" s="3" t="s">
        <v>3</v>
      </c>
      <c r="D3" s="3">
        <v>1</v>
      </c>
      <c r="E3" s="3"/>
      <c r="F3" s="4">
        <v>110</v>
      </c>
      <c r="G3" s="4">
        <v>1.93</v>
      </c>
      <c r="H3" s="4">
        <v>1.62</v>
      </c>
      <c r="I3" s="4">
        <v>130.58000000000004</v>
      </c>
      <c r="J3" s="4">
        <v>92.61</v>
      </c>
      <c r="K3" s="4"/>
      <c r="L3" s="4">
        <v>0</v>
      </c>
      <c r="M3" s="5"/>
      <c r="N3" s="5"/>
      <c r="O3" s="3"/>
      <c r="P3" s="4">
        <f t="shared" si="0"/>
        <v>-0.30999999999999983</v>
      </c>
      <c r="Q3" s="6">
        <f t="shared" si="1"/>
        <v>0.83937823834196901</v>
      </c>
      <c r="R3" s="3" t="s">
        <v>20</v>
      </c>
    </row>
    <row r="4" spans="1:18">
      <c r="A4" s="2">
        <v>46179</v>
      </c>
      <c r="B4" s="3" t="s">
        <v>18</v>
      </c>
      <c r="C4" s="3" t="s">
        <v>3</v>
      </c>
      <c r="D4" s="3">
        <v>2</v>
      </c>
      <c r="E4" s="3"/>
      <c r="F4" s="4">
        <v>110</v>
      </c>
      <c r="G4" s="4">
        <v>1.93</v>
      </c>
      <c r="H4" s="4">
        <v>1.66</v>
      </c>
      <c r="I4" s="4">
        <v>130.58000000000004</v>
      </c>
      <c r="J4" s="4">
        <v>96.36</v>
      </c>
      <c r="K4" s="4"/>
      <c r="L4" s="4">
        <v>0</v>
      </c>
      <c r="M4" s="5"/>
      <c r="N4" s="5"/>
      <c r="O4" s="3"/>
      <c r="P4" s="4">
        <f t="shared" si="0"/>
        <v>-0.27</v>
      </c>
      <c r="Q4" s="6">
        <f t="shared" si="1"/>
        <v>0.86010362694300513</v>
      </c>
      <c r="R4" s="3" t="s">
        <v>20</v>
      </c>
    </row>
    <row r="5" spans="1:18">
      <c r="A5" s="2">
        <v>46179</v>
      </c>
      <c r="B5" s="3" t="s">
        <v>18</v>
      </c>
      <c r="C5" s="3" t="s">
        <v>3</v>
      </c>
      <c r="D5" s="3">
        <v>3</v>
      </c>
      <c r="E5" s="3"/>
      <c r="F5" s="4">
        <v>210</v>
      </c>
      <c r="G5" s="4">
        <v>3.9</v>
      </c>
      <c r="H5" s="4">
        <v>3.67</v>
      </c>
      <c r="I5" s="4">
        <v>264.39999999999998</v>
      </c>
      <c r="J5" s="4">
        <v>207.76</v>
      </c>
      <c r="K5" s="4"/>
      <c r="L5" s="4">
        <v>0</v>
      </c>
      <c r="M5" s="5"/>
      <c r="N5" s="5"/>
      <c r="O5" s="3"/>
      <c r="P5" s="4">
        <f t="shared" si="0"/>
        <v>-0.22999999999999998</v>
      </c>
      <c r="Q5" s="6">
        <f t="shared" si="1"/>
        <v>0.94102564102564101</v>
      </c>
      <c r="R5" s="3" t="s">
        <v>20</v>
      </c>
    </row>
    <row r="6" spans="1:18">
      <c r="A6" s="2">
        <v>46179</v>
      </c>
      <c r="B6" s="3" t="s">
        <v>18</v>
      </c>
      <c r="C6" s="3" t="s">
        <v>3</v>
      </c>
      <c r="D6" s="3">
        <v>4</v>
      </c>
      <c r="E6" s="3"/>
      <c r="F6" s="4">
        <v>210</v>
      </c>
      <c r="G6" s="4">
        <v>4</v>
      </c>
      <c r="H6" s="4">
        <v>3.75</v>
      </c>
      <c r="I6" s="4">
        <v>262</v>
      </c>
      <c r="J6" s="4">
        <v>64.959999999999994</v>
      </c>
      <c r="K6" s="4"/>
      <c r="L6" s="4">
        <v>0</v>
      </c>
      <c r="M6" s="5"/>
      <c r="N6" s="5"/>
      <c r="O6" s="3"/>
      <c r="P6" s="4">
        <f t="shared" si="0"/>
        <v>-0.25</v>
      </c>
      <c r="Q6" s="6">
        <f t="shared" si="1"/>
        <v>0.9375</v>
      </c>
      <c r="R6" s="3" t="s">
        <v>20</v>
      </c>
    </row>
    <row r="7" spans="1:18">
      <c r="A7" s="2">
        <v>46179</v>
      </c>
      <c r="B7" s="3" t="s">
        <v>18</v>
      </c>
      <c r="C7" s="3" t="s">
        <v>3</v>
      </c>
      <c r="D7" s="3">
        <v>5</v>
      </c>
      <c r="E7" s="3"/>
      <c r="F7" s="4">
        <v>210</v>
      </c>
      <c r="G7" s="4">
        <v>4</v>
      </c>
      <c r="H7" s="4">
        <v>3.85</v>
      </c>
      <c r="I7" s="4">
        <v>266</v>
      </c>
      <c r="J7" s="4">
        <v>198.7</v>
      </c>
      <c r="K7" s="4"/>
      <c r="L7" s="4">
        <v>0</v>
      </c>
      <c r="M7" s="5"/>
      <c r="N7" s="5"/>
      <c r="O7" s="3"/>
      <c r="P7" s="4">
        <f t="shared" si="0"/>
        <v>-0.14999999999999991</v>
      </c>
      <c r="Q7" s="6">
        <f t="shared" si="1"/>
        <v>0.96250000000000002</v>
      </c>
      <c r="R7" s="3" t="s">
        <v>20</v>
      </c>
    </row>
    <row r="8" spans="1:18">
      <c r="A8" s="2">
        <v>46179</v>
      </c>
      <c r="B8" s="3" t="s">
        <v>18</v>
      </c>
      <c r="C8" s="3" t="s">
        <v>3</v>
      </c>
      <c r="D8" s="3">
        <v>6</v>
      </c>
      <c r="E8" s="3"/>
      <c r="F8" s="4">
        <v>195</v>
      </c>
      <c r="G8" s="4">
        <v>4.0999999999999996</v>
      </c>
      <c r="H8" s="4">
        <v>3.85</v>
      </c>
      <c r="I8" s="4">
        <v>272.60000000000008</v>
      </c>
      <c r="J8" s="4">
        <v>264.8</v>
      </c>
      <c r="K8" s="4"/>
      <c r="L8" s="4">
        <v>0</v>
      </c>
      <c r="M8" s="5"/>
      <c r="N8" s="5"/>
      <c r="O8" s="3"/>
      <c r="P8" s="4">
        <f t="shared" si="0"/>
        <v>-0.24999999999999956</v>
      </c>
      <c r="Q8" s="6">
        <f t="shared" si="1"/>
        <v>0.9390243902439025</v>
      </c>
      <c r="R8" s="3" t="s">
        <v>20</v>
      </c>
    </row>
    <row r="9" spans="1:18">
      <c r="A9" s="2">
        <v>46179</v>
      </c>
      <c r="B9" s="3" t="s">
        <v>18</v>
      </c>
      <c r="C9" s="3" t="s">
        <v>3</v>
      </c>
      <c r="D9" s="3">
        <v>7</v>
      </c>
      <c r="E9" s="3"/>
      <c r="F9" s="4">
        <v>195</v>
      </c>
      <c r="G9" s="4">
        <v>4.0999999999999996</v>
      </c>
      <c r="H9" s="4">
        <v>3.82</v>
      </c>
      <c r="I9" s="4">
        <v>270.60000000000008</v>
      </c>
      <c r="J9" s="4">
        <v>223.06</v>
      </c>
      <c r="K9" s="4"/>
      <c r="L9" s="4">
        <v>0</v>
      </c>
      <c r="M9" s="5"/>
      <c r="N9" s="5"/>
      <c r="O9" s="3"/>
      <c r="P9" s="4">
        <f t="shared" si="0"/>
        <v>-0.2799999999999998</v>
      </c>
      <c r="Q9" s="6">
        <f t="shared" si="1"/>
        <v>0.93170731707317078</v>
      </c>
      <c r="R9" s="3" t="s">
        <v>20</v>
      </c>
    </row>
    <row r="10" spans="1:18" hidden="1">
      <c r="A10" s="2">
        <v>46180</v>
      </c>
      <c r="B10" s="3" t="s">
        <v>18</v>
      </c>
      <c r="C10" s="3" t="s">
        <v>19</v>
      </c>
      <c r="D10" s="3"/>
      <c r="E10" s="3"/>
      <c r="F10" s="4">
        <v>1240</v>
      </c>
      <c r="G10" s="4">
        <v>23.96</v>
      </c>
      <c r="H10" s="4">
        <v>21.88</v>
      </c>
      <c r="I10" s="4">
        <v>1620.7200000000003</v>
      </c>
      <c r="J10" s="4">
        <v>1170.1300000000001</v>
      </c>
      <c r="K10" s="4">
        <v>14</v>
      </c>
      <c r="L10" s="4">
        <v>0</v>
      </c>
      <c r="M10" s="5"/>
      <c r="N10" s="5"/>
      <c r="O10" s="3"/>
      <c r="P10" s="4">
        <f t="shared" si="0"/>
        <v>-2.0800000000000018</v>
      </c>
      <c r="Q10" s="6">
        <f t="shared" si="1"/>
        <v>0.91318864774624364</v>
      </c>
      <c r="R10" s="3" t="s">
        <v>21</v>
      </c>
    </row>
    <row r="11" spans="1:18">
      <c r="A11" s="2">
        <v>46180</v>
      </c>
      <c r="B11" s="3" t="s">
        <v>18</v>
      </c>
      <c r="C11" s="3" t="s">
        <v>3</v>
      </c>
      <c r="D11" s="3">
        <v>1</v>
      </c>
      <c r="E11" s="3"/>
      <c r="F11" s="4">
        <v>110</v>
      </c>
      <c r="G11" s="4">
        <v>1.93</v>
      </c>
      <c r="H11" s="4">
        <v>1.61</v>
      </c>
      <c r="I11" s="4">
        <v>132.51000000000005</v>
      </c>
      <c r="J11" s="4">
        <v>94.22</v>
      </c>
      <c r="K11" s="4"/>
      <c r="L11" s="4">
        <v>0</v>
      </c>
      <c r="M11" s="5"/>
      <c r="N11" s="5"/>
      <c r="O11" s="3"/>
      <c r="P11" s="4">
        <f t="shared" si="0"/>
        <v>-0.31999999999999984</v>
      </c>
      <c r="Q11" s="6">
        <f t="shared" si="1"/>
        <v>0.83419689119170992</v>
      </c>
      <c r="R11" s="3" t="s">
        <v>21</v>
      </c>
    </row>
    <row r="12" spans="1:18">
      <c r="A12" s="2">
        <v>46180</v>
      </c>
      <c r="B12" s="3" t="s">
        <v>18</v>
      </c>
      <c r="C12" s="3" t="s">
        <v>3</v>
      </c>
      <c r="D12" s="3">
        <v>2</v>
      </c>
      <c r="E12" s="3"/>
      <c r="F12" s="4">
        <v>110</v>
      </c>
      <c r="G12" s="4">
        <v>1.93</v>
      </c>
      <c r="H12" s="4">
        <v>1.58</v>
      </c>
      <c r="I12" s="4">
        <v>132.51000000000005</v>
      </c>
      <c r="J12" s="4">
        <v>97.94</v>
      </c>
      <c r="K12" s="4"/>
      <c r="L12" s="4">
        <v>0</v>
      </c>
      <c r="M12" s="5"/>
      <c r="N12" s="5"/>
      <c r="O12" s="3"/>
      <c r="P12" s="4">
        <f t="shared" si="0"/>
        <v>-0.34999999999999987</v>
      </c>
      <c r="Q12" s="6">
        <f t="shared" si="1"/>
        <v>0.81865284974093266</v>
      </c>
      <c r="R12" s="3" t="s">
        <v>21</v>
      </c>
    </row>
    <row r="13" spans="1:18">
      <c r="A13" s="2">
        <v>46180</v>
      </c>
      <c r="B13" s="3" t="s">
        <v>18</v>
      </c>
      <c r="C13" s="3" t="s">
        <v>3</v>
      </c>
      <c r="D13" s="3">
        <v>3</v>
      </c>
      <c r="E13" s="3"/>
      <c r="F13" s="4">
        <v>210</v>
      </c>
      <c r="G13" s="4">
        <v>3.9</v>
      </c>
      <c r="H13" s="4">
        <v>3.59</v>
      </c>
      <c r="I13" s="4">
        <v>268.29999999999995</v>
      </c>
      <c r="J13" s="4">
        <v>211.35</v>
      </c>
      <c r="K13" s="4"/>
      <c r="L13" s="4">
        <v>0</v>
      </c>
      <c r="M13" s="5"/>
      <c r="N13" s="5"/>
      <c r="O13" s="3"/>
      <c r="P13" s="4">
        <f t="shared" si="0"/>
        <v>-0.31000000000000005</v>
      </c>
      <c r="Q13" s="6">
        <f t="shared" si="1"/>
        <v>0.92051282051282046</v>
      </c>
      <c r="R13" s="3" t="s">
        <v>21</v>
      </c>
    </row>
    <row r="14" spans="1:18">
      <c r="A14" s="2">
        <v>46180</v>
      </c>
      <c r="B14" s="3" t="s">
        <v>18</v>
      </c>
      <c r="C14" s="3" t="s">
        <v>3</v>
      </c>
      <c r="D14" s="3">
        <v>4</v>
      </c>
      <c r="E14" s="3"/>
      <c r="F14" s="4">
        <v>210</v>
      </c>
      <c r="G14" s="4">
        <v>4</v>
      </c>
      <c r="H14" s="4">
        <v>3.61</v>
      </c>
      <c r="I14" s="4">
        <v>266</v>
      </c>
      <c r="J14" s="4">
        <v>68.569999999999993</v>
      </c>
      <c r="K14" s="4"/>
      <c r="L14" s="4">
        <v>0</v>
      </c>
      <c r="M14" s="5"/>
      <c r="N14" s="5"/>
      <c r="O14" s="3"/>
      <c r="P14" s="4">
        <f t="shared" si="0"/>
        <v>-0.39000000000000012</v>
      </c>
      <c r="Q14" s="6">
        <f t="shared" si="1"/>
        <v>0.90249999999999997</v>
      </c>
      <c r="R14" s="3" t="s">
        <v>21</v>
      </c>
    </row>
    <row r="15" spans="1:18">
      <c r="A15" s="2">
        <v>46180</v>
      </c>
      <c r="B15" s="3" t="s">
        <v>18</v>
      </c>
      <c r="C15" s="3" t="s">
        <v>3</v>
      </c>
      <c r="D15" s="3">
        <v>5</v>
      </c>
      <c r="E15" s="3"/>
      <c r="F15" s="4">
        <v>210</v>
      </c>
      <c r="G15" s="4">
        <v>4</v>
      </c>
      <c r="H15" s="4">
        <v>3.83</v>
      </c>
      <c r="I15" s="4">
        <v>270</v>
      </c>
      <c r="J15" s="4">
        <v>202.53</v>
      </c>
      <c r="K15" s="4"/>
      <c r="L15" s="4">
        <v>0</v>
      </c>
      <c r="M15" s="5"/>
      <c r="N15" s="5"/>
      <c r="O15" s="3"/>
      <c r="P15" s="4">
        <f t="shared" si="0"/>
        <v>-0.16999999999999993</v>
      </c>
      <c r="Q15" s="6">
        <f t="shared" si="1"/>
        <v>0.95750000000000002</v>
      </c>
      <c r="R15" s="3" t="s">
        <v>21</v>
      </c>
    </row>
    <row r="16" spans="1:18">
      <c r="A16" s="2">
        <v>46180</v>
      </c>
      <c r="B16" s="3" t="s">
        <v>18</v>
      </c>
      <c r="C16" s="3" t="s">
        <v>3</v>
      </c>
      <c r="D16" s="3">
        <v>6</v>
      </c>
      <c r="E16" s="3"/>
      <c r="F16" s="4">
        <v>195</v>
      </c>
      <c r="G16" s="4">
        <v>4.0999999999999996</v>
      </c>
      <c r="H16" s="4">
        <v>3.85</v>
      </c>
      <c r="I16" s="4">
        <v>276.7000000000001</v>
      </c>
      <c r="J16" s="4">
        <v>268.64999999999998</v>
      </c>
      <c r="K16" s="4"/>
      <c r="L16" s="4">
        <v>0</v>
      </c>
      <c r="M16" s="5"/>
      <c r="N16" s="5"/>
      <c r="O16" s="3"/>
      <c r="P16" s="4">
        <f t="shared" si="0"/>
        <v>-0.24999999999999956</v>
      </c>
      <c r="Q16" s="6">
        <f t="shared" si="1"/>
        <v>0.9390243902439025</v>
      </c>
      <c r="R16" s="3" t="s">
        <v>21</v>
      </c>
    </row>
    <row r="17" spans="1:18">
      <c r="A17" s="2">
        <v>46180</v>
      </c>
      <c r="B17" s="3" t="s">
        <v>18</v>
      </c>
      <c r="C17" s="3" t="s">
        <v>3</v>
      </c>
      <c r="D17" s="3">
        <v>7</v>
      </c>
      <c r="E17" s="3"/>
      <c r="F17" s="4">
        <v>195</v>
      </c>
      <c r="G17" s="4">
        <v>4.0999999999999996</v>
      </c>
      <c r="H17" s="4">
        <v>3.81</v>
      </c>
      <c r="I17" s="4">
        <v>274.7000000000001</v>
      </c>
      <c r="J17" s="4">
        <v>226.87</v>
      </c>
      <c r="K17" s="4"/>
      <c r="L17" s="4">
        <v>0</v>
      </c>
      <c r="M17" s="5"/>
      <c r="N17" s="5"/>
      <c r="O17" s="3"/>
      <c r="P17" s="4">
        <f t="shared" si="0"/>
        <v>-0.28999999999999959</v>
      </c>
      <c r="Q17" s="6">
        <f t="shared" si="1"/>
        <v>0.92926829268292688</v>
      </c>
      <c r="R17" s="3" t="s">
        <v>21</v>
      </c>
    </row>
    <row r="18" spans="1:18" hidden="1">
      <c r="A18" s="2">
        <v>46181</v>
      </c>
      <c r="B18" s="3" t="s">
        <v>18</v>
      </c>
      <c r="C18" s="3" t="s">
        <v>19</v>
      </c>
      <c r="D18" s="3"/>
      <c r="E18" s="3"/>
      <c r="F18" s="4">
        <v>1240</v>
      </c>
      <c r="G18" s="4">
        <v>23.96</v>
      </c>
      <c r="H18" s="4">
        <v>21.949999999999996</v>
      </c>
      <c r="I18" s="4">
        <v>1644.6800000000003</v>
      </c>
      <c r="J18" s="4">
        <v>1192.08</v>
      </c>
      <c r="K18" s="4">
        <v>14</v>
      </c>
      <c r="L18" s="4">
        <v>0</v>
      </c>
      <c r="M18" s="5"/>
      <c r="N18" s="5"/>
      <c r="O18" s="3"/>
      <c r="P18" s="4">
        <f t="shared" si="0"/>
        <v>-2.0100000000000051</v>
      </c>
      <c r="Q18" s="6">
        <f t="shared" si="1"/>
        <v>0.91611018363939878</v>
      </c>
      <c r="R18" s="3" t="s">
        <v>22</v>
      </c>
    </row>
    <row r="19" spans="1:18">
      <c r="A19" s="2">
        <v>46181</v>
      </c>
      <c r="B19" s="3" t="s">
        <v>18</v>
      </c>
      <c r="C19" s="3" t="s">
        <v>3</v>
      </c>
      <c r="D19" s="3">
        <v>1</v>
      </c>
      <c r="E19" s="3"/>
      <c r="F19" s="4">
        <v>110</v>
      </c>
      <c r="G19" s="4">
        <v>1.93</v>
      </c>
      <c r="H19" s="4">
        <v>1.55</v>
      </c>
      <c r="I19" s="4">
        <v>134.44000000000005</v>
      </c>
      <c r="J19" s="4">
        <v>95.77</v>
      </c>
      <c r="K19" s="4"/>
      <c r="L19" s="4">
        <v>0</v>
      </c>
      <c r="M19" s="5"/>
      <c r="N19" s="5"/>
      <c r="O19" s="3"/>
      <c r="P19" s="4">
        <f t="shared" si="0"/>
        <v>-0.37999999999999989</v>
      </c>
      <c r="Q19" s="6">
        <f t="shared" si="1"/>
        <v>0.80310880829015552</v>
      </c>
      <c r="R19" s="3" t="s">
        <v>22</v>
      </c>
    </row>
    <row r="20" spans="1:18">
      <c r="A20" s="2">
        <v>46181</v>
      </c>
      <c r="B20" s="3" t="s">
        <v>18</v>
      </c>
      <c r="C20" s="3" t="s">
        <v>3</v>
      </c>
      <c r="D20" s="3">
        <v>2</v>
      </c>
      <c r="E20" s="3"/>
      <c r="F20" s="4">
        <v>110</v>
      </c>
      <c r="G20" s="4">
        <v>1.93</v>
      </c>
      <c r="H20" s="4">
        <v>1.6</v>
      </c>
      <c r="I20" s="4">
        <v>134.44000000000005</v>
      </c>
      <c r="J20" s="4">
        <v>99.54</v>
      </c>
      <c r="K20" s="4"/>
      <c r="L20" s="4">
        <v>0</v>
      </c>
      <c r="M20" s="5"/>
      <c r="N20" s="5"/>
      <c r="O20" s="3"/>
      <c r="P20" s="4">
        <f t="shared" si="0"/>
        <v>-0.32999999999999985</v>
      </c>
      <c r="Q20" s="6">
        <f t="shared" si="1"/>
        <v>0.82901554404145084</v>
      </c>
      <c r="R20" s="3" t="s">
        <v>22</v>
      </c>
    </row>
    <row r="21" spans="1:18">
      <c r="A21" s="2">
        <v>46181</v>
      </c>
      <c r="B21" s="3" t="s">
        <v>18</v>
      </c>
      <c r="C21" s="3" t="s">
        <v>3</v>
      </c>
      <c r="D21" s="3">
        <v>3</v>
      </c>
      <c r="E21" s="3"/>
      <c r="F21" s="4">
        <v>210</v>
      </c>
      <c r="G21" s="4">
        <v>3.9</v>
      </c>
      <c r="H21" s="4">
        <v>3.61</v>
      </c>
      <c r="I21" s="4">
        <v>272.19999999999993</v>
      </c>
      <c r="J21" s="4">
        <v>214.96</v>
      </c>
      <c r="K21" s="4"/>
      <c r="L21" s="4">
        <v>0</v>
      </c>
      <c r="M21" s="5"/>
      <c r="N21" s="5"/>
      <c r="O21" s="3"/>
      <c r="P21" s="4">
        <f t="shared" si="0"/>
        <v>-0.29000000000000004</v>
      </c>
      <c r="Q21" s="6">
        <f t="shared" si="1"/>
        <v>0.92564102564102568</v>
      </c>
      <c r="R21" s="3" t="s">
        <v>22</v>
      </c>
    </row>
    <row r="22" spans="1:18">
      <c r="A22" s="2">
        <v>46181</v>
      </c>
      <c r="B22" s="3" t="s">
        <v>18</v>
      </c>
      <c r="C22" s="3" t="s">
        <v>3</v>
      </c>
      <c r="D22" s="3">
        <v>4</v>
      </c>
      <c r="E22" s="3"/>
      <c r="F22" s="4">
        <v>210</v>
      </c>
      <c r="G22" s="4">
        <v>4</v>
      </c>
      <c r="H22" s="4">
        <v>3.67</v>
      </c>
      <c r="I22" s="4">
        <v>270</v>
      </c>
      <c r="J22" s="4">
        <v>72.239999999999995</v>
      </c>
      <c r="K22" s="4"/>
      <c r="L22" s="4">
        <v>0</v>
      </c>
      <c r="M22" s="5"/>
      <c r="N22" s="5"/>
      <c r="O22" s="3"/>
      <c r="P22" s="4">
        <f t="shared" si="0"/>
        <v>-0.33000000000000007</v>
      </c>
      <c r="Q22" s="6">
        <f t="shared" si="1"/>
        <v>0.91749999999999998</v>
      </c>
      <c r="R22" s="3" t="s">
        <v>22</v>
      </c>
    </row>
    <row r="23" spans="1:18">
      <c r="A23" s="2">
        <v>46181</v>
      </c>
      <c r="B23" s="3" t="s">
        <v>18</v>
      </c>
      <c r="C23" s="3" t="s">
        <v>3</v>
      </c>
      <c r="D23" s="3">
        <v>5</v>
      </c>
      <c r="E23" s="3"/>
      <c r="F23" s="4">
        <v>210</v>
      </c>
      <c r="G23" s="4">
        <v>4</v>
      </c>
      <c r="H23" s="4">
        <v>3.85</v>
      </c>
      <c r="I23" s="4">
        <v>274</v>
      </c>
      <c r="J23" s="4">
        <v>206.38</v>
      </c>
      <c r="K23" s="4"/>
      <c r="L23" s="4">
        <v>0</v>
      </c>
      <c r="M23" s="5"/>
      <c r="N23" s="5"/>
      <c r="O23" s="3"/>
      <c r="P23" s="4">
        <f t="shared" si="0"/>
        <v>-0.14999999999999991</v>
      </c>
      <c r="Q23" s="6">
        <f t="shared" si="1"/>
        <v>0.96250000000000002</v>
      </c>
      <c r="R23" s="3" t="s">
        <v>22</v>
      </c>
    </row>
    <row r="24" spans="1:18">
      <c r="A24" s="2">
        <v>46181</v>
      </c>
      <c r="B24" s="3" t="s">
        <v>18</v>
      </c>
      <c r="C24" s="3" t="s">
        <v>3</v>
      </c>
      <c r="D24" s="3">
        <v>6</v>
      </c>
      <c r="E24" s="3"/>
      <c r="F24" s="4">
        <v>195</v>
      </c>
      <c r="G24" s="4">
        <v>4.0999999999999996</v>
      </c>
      <c r="H24" s="4">
        <v>3.84</v>
      </c>
      <c r="I24" s="4">
        <v>280.80000000000013</v>
      </c>
      <c r="J24" s="4">
        <v>272.49</v>
      </c>
      <c r="K24" s="4"/>
      <c r="L24" s="4">
        <v>0</v>
      </c>
      <c r="M24" s="5"/>
      <c r="N24" s="5"/>
      <c r="O24" s="3"/>
      <c r="P24" s="4">
        <f t="shared" si="0"/>
        <v>-0.25999999999999979</v>
      </c>
      <c r="Q24" s="6">
        <f t="shared" si="1"/>
        <v>0.93658536585365859</v>
      </c>
      <c r="R24" s="3" t="s">
        <v>22</v>
      </c>
    </row>
    <row r="25" spans="1:18">
      <c r="A25" s="2">
        <v>46181</v>
      </c>
      <c r="B25" s="3" t="s">
        <v>18</v>
      </c>
      <c r="C25" s="3" t="s">
        <v>3</v>
      </c>
      <c r="D25" s="3">
        <v>7</v>
      </c>
      <c r="E25" s="3"/>
      <c r="F25" s="4">
        <v>195</v>
      </c>
      <c r="G25" s="4">
        <v>4.0999999999999996</v>
      </c>
      <c r="H25" s="4">
        <v>3.83</v>
      </c>
      <c r="I25" s="4">
        <v>278.80000000000013</v>
      </c>
      <c r="J25" s="4">
        <v>230.7</v>
      </c>
      <c r="K25" s="4"/>
      <c r="L25" s="4">
        <v>0</v>
      </c>
      <c r="M25" s="5"/>
      <c r="N25" s="5"/>
      <c r="O25" s="3"/>
      <c r="P25" s="4">
        <f t="shared" si="0"/>
        <v>-0.26999999999999957</v>
      </c>
      <c r="Q25" s="6">
        <f t="shared" si="1"/>
        <v>0.93414634146341469</v>
      </c>
      <c r="R25" s="3" t="s">
        <v>22</v>
      </c>
    </row>
    <row r="26" spans="1:18" hidden="1">
      <c r="A26" s="2">
        <v>46182</v>
      </c>
      <c r="B26" s="3" t="s">
        <v>18</v>
      </c>
      <c r="C26" s="3" t="s">
        <v>19</v>
      </c>
      <c r="D26" s="3"/>
      <c r="E26" s="3"/>
      <c r="F26" s="4">
        <v>1240</v>
      </c>
      <c r="G26" s="4">
        <v>23.96</v>
      </c>
      <c r="H26" s="4">
        <v>22.45</v>
      </c>
      <c r="I26" s="4">
        <v>1668.6400000000003</v>
      </c>
      <c r="J26" s="4">
        <v>1214.53</v>
      </c>
      <c r="K26" s="4">
        <v>14</v>
      </c>
      <c r="L26" s="4">
        <v>0</v>
      </c>
      <c r="M26" s="5"/>
      <c r="N26" s="5"/>
      <c r="O26" s="3"/>
      <c r="P26" s="4">
        <f t="shared" si="0"/>
        <v>-1.5100000000000016</v>
      </c>
      <c r="Q26" s="6">
        <f t="shared" si="1"/>
        <v>0.93697829716193648</v>
      </c>
      <c r="R26" s="3" t="s">
        <v>23</v>
      </c>
    </row>
    <row r="27" spans="1:18">
      <c r="A27" s="2">
        <v>46182</v>
      </c>
      <c r="B27" s="3" t="s">
        <v>18</v>
      </c>
      <c r="C27" s="3" t="s">
        <v>3</v>
      </c>
      <c r="D27" s="3">
        <v>1</v>
      </c>
      <c r="E27" s="3"/>
      <c r="F27" s="4">
        <v>110</v>
      </c>
      <c r="G27" s="4">
        <v>1.93</v>
      </c>
      <c r="H27" s="4">
        <v>1.63</v>
      </c>
      <c r="I27" s="4">
        <v>136.37000000000006</v>
      </c>
      <c r="J27" s="4">
        <v>97.4</v>
      </c>
      <c r="K27" s="4"/>
      <c r="L27" s="4">
        <v>0</v>
      </c>
      <c r="M27" s="5"/>
      <c r="N27" s="5"/>
      <c r="O27" s="3"/>
      <c r="P27" s="4">
        <f t="shared" si="0"/>
        <v>-0.30000000000000004</v>
      </c>
      <c r="Q27" s="6">
        <f t="shared" si="1"/>
        <v>0.84455958549222798</v>
      </c>
      <c r="R27" s="3" t="s">
        <v>23</v>
      </c>
    </row>
    <row r="28" spans="1:18">
      <c r="A28" s="2">
        <v>46182</v>
      </c>
      <c r="B28" s="3" t="s">
        <v>18</v>
      </c>
      <c r="C28" s="3" t="s">
        <v>3</v>
      </c>
      <c r="D28" s="3">
        <v>2</v>
      </c>
      <c r="E28" s="3"/>
      <c r="F28" s="4">
        <v>110</v>
      </c>
      <c r="G28" s="4">
        <v>1.93</v>
      </c>
      <c r="H28" s="4">
        <v>1.74</v>
      </c>
      <c r="I28" s="4">
        <v>136.37000000000006</v>
      </c>
      <c r="J28" s="4">
        <v>101.28</v>
      </c>
      <c r="K28" s="4"/>
      <c r="L28" s="4">
        <v>0</v>
      </c>
      <c r="M28" s="5"/>
      <c r="N28" s="5"/>
      <c r="O28" s="3"/>
      <c r="P28" s="4">
        <f t="shared" si="0"/>
        <v>-0.18999999999999995</v>
      </c>
      <c r="Q28" s="6">
        <f t="shared" si="1"/>
        <v>0.9015544041450777</v>
      </c>
      <c r="R28" s="3" t="s">
        <v>23</v>
      </c>
    </row>
    <row r="29" spans="1:18">
      <c r="A29" s="2">
        <v>46182</v>
      </c>
      <c r="B29" s="3" t="s">
        <v>18</v>
      </c>
      <c r="C29" s="3" t="s">
        <v>3</v>
      </c>
      <c r="D29" s="3">
        <v>3</v>
      </c>
      <c r="E29" s="3"/>
      <c r="F29" s="4">
        <v>210</v>
      </c>
      <c r="G29" s="4">
        <v>3.9</v>
      </c>
      <c r="H29" s="4">
        <v>3.72</v>
      </c>
      <c r="I29" s="4">
        <v>276.09999999999991</v>
      </c>
      <c r="J29" s="4">
        <v>218.68</v>
      </c>
      <c r="K29" s="4"/>
      <c r="L29" s="4">
        <v>0</v>
      </c>
      <c r="M29" s="5"/>
      <c r="N29" s="5"/>
      <c r="O29" s="3"/>
      <c r="P29" s="4">
        <f t="shared" si="0"/>
        <v>-0.17999999999999972</v>
      </c>
      <c r="Q29" s="6">
        <f t="shared" si="1"/>
        <v>0.9538461538461539</v>
      </c>
      <c r="R29" s="3" t="s">
        <v>23</v>
      </c>
    </row>
    <row r="30" spans="1:18">
      <c r="A30" s="2">
        <v>46182</v>
      </c>
      <c r="B30" s="3" t="s">
        <v>18</v>
      </c>
      <c r="C30" s="3" t="s">
        <v>3</v>
      </c>
      <c r="D30" s="3">
        <v>4</v>
      </c>
      <c r="E30" s="3"/>
      <c r="F30" s="4">
        <v>210</v>
      </c>
      <c r="G30" s="4">
        <v>4</v>
      </c>
      <c r="H30" s="4">
        <v>3.81</v>
      </c>
      <c r="I30" s="4">
        <v>274</v>
      </c>
      <c r="J30" s="4">
        <v>76.05</v>
      </c>
      <c r="K30" s="4"/>
      <c r="L30" s="4">
        <v>0</v>
      </c>
      <c r="M30" s="5"/>
      <c r="N30" s="5"/>
      <c r="O30" s="3"/>
      <c r="P30" s="4">
        <f t="shared" si="0"/>
        <v>-0.18999999999999995</v>
      </c>
      <c r="Q30" s="6">
        <f t="shared" si="1"/>
        <v>0.95250000000000001</v>
      </c>
      <c r="R30" s="3" t="s">
        <v>23</v>
      </c>
    </row>
    <row r="31" spans="1:18">
      <c r="A31" s="2">
        <v>46182</v>
      </c>
      <c r="B31" s="3" t="s">
        <v>18</v>
      </c>
      <c r="C31" s="3" t="s">
        <v>3</v>
      </c>
      <c r="D31" s="3">
        <v>5</v>
      </c>
      <c r="E31" s="3"/>
      <c r="F31" s="4">
        <v>210</v>
      </c>
      <c r="G31" s="4">
        <v>4</v>
      </c>
      <c r="H31" s="4">
        <v>3.89</v>
      </c>
      <c r="I31" s="4">
        <v>278</v>
      </c>
      <c r="J31" s="4">
        <v>210.27</v>
      </c>
      <c r="K31" s="4"/>
      <c r="L31" s="4">
        <v>0</v>
      </c>
      <c r="M31" s="5"/>
      <c r="N31" s="5"/>
      <c r="O31" s="3"/>
      <c r="P31" s="4">
        <f t="shared" si="0"/>
        <v>-0.10999999999999988</v>
      </c>
      <c r="Q31" s="6">
        <f t="shared" si="1"/>
        <v>0.97250000000000003</v>
      </c>
      <c r="R31" s="3" t="s">
        <v>23</v>
      </c>
    </row>
    <row r="32" spans="1:18">
      <c r="A32" s="2">
        <v>46182</v>
      </c>
      <c r="B32" s="3" t="s">
        <v>18</v>
      </c>
      <c r="C32" s="3" t="s">
        <v>3</v>
      </c>
      <c r="D32" s="3">
        <v>6</v>
      </c>
      <c r="E32" s="3"/>
      <c r="F32" s="4">
        <v>195</v>
      </c>
      <c r="G32" s="4">
        <v>4.0999999999999996</v>
      </c>
      <c r="H32" s="4">
        <v>3.85</v>
      </c>
      <c r="I32" s="4">
        <v>284.90000000000015</v>
      </c>
      <c r="J32" s="4">
        <v>276.33999999999997</v>
      </c>
      <c r="K32" s="4"/>
      <c r="L32" s="4">
        <v>0</v>
      </c>
      <c r="M32" s="5"/>
      <c r="N32" s="5"/>
      <c r="O32" s="3"/>
      <c r="P32" s="4">
        <f t="shared" si="0"/>
        <v>-0.24999999999999956</v>
      </c>
      <c r="Q32" s="6">
        <f t="shared" si="1"/>
        <v>0.9390243902439025</v>
      </c>
      <c r="R32" s="3" t="s">
        <v>23</v>
      </c>
    </row>
    <row r="33" spans="1:18">
      <c r="A33" s="2">
        <v>46182</v>
      </c>
      <c r="B33" s="3" t="s">
        <v>18</v>
      </c>
      <c r="C33" s="3" t="s">
        <v>3</v>
      </c>
      <c r="D33" s="3">
        <v>7</v>
      </c>
      <c r="E33" s="3"/>
      <c r="F33" s="4">
        <v>195</v>
      </c>
      <c r="G33" s="4">
        <v>4.0999999999999996</v>
      </c>
      <c r="H33" s="4">
        <v>3.81</v>
      </c>
      <c r="I33" s="4">
        <v>282.90000000000015</v>
      </c>
      <c r="J33" s="4">
        <v>234.51</v>
      </c>
      <c r="K33" s="4"/>
      <c r="L33" s="4">
        <v>0</v>
      </c>
      <c r="M33" s="5"/>
      <c r="N33" s="5"/>
      <c r="O33" s="3"/>
      <c r="P33" s="4">
        <f t="shared" si="0"/>
        <v>-0.28999999999999959</v>
      </c>
      <c r="Q33" s="6">
        <f t="shared" si="1"/>
        <v>0.92926829268292688</v>
      </c>
      <c r="R33" s="3" t="s">
        <v>23</v>
      </c>
    </row>
    <row r="34" spans="1:18" hidden="1">
      <c r="A34" s="2">
        <v>46183</v>
      </c>
      <c r="B34" s="3" t="s">
        <v>18</v>
      </c>
      <c r="C34" s="3" t="s">
        <v>19</v>
      </c>
      <c r="D34" s="3"/>
      <c r="E34" s="3"/>
      <c r="F34" s="4">
        <v>1240</v>
      </c>
      <c r="G34" s="4">
        <v>23.96</v>
      </c>
      <c r="H34" s="4">
        <v>22.6</v>
      </c>
      <c r="I34" s="4">
        <v>1692.6000000000004</v>
      </c>
      <c r="J34" s="4">
        <v>1237.1299999999999</v>
      </c>
      <c r="K34" s="4">
        <v>14</v>
      </c>
      <c r="L34" s="4">
        <v>0</v>
      </c>
      <c r="M34" s="5"/>
      <c r="N34" s="5"/>
      <c r="O34" s="3"/>
      <c r="P34" s="4">
        <f t="shared" si="0"/>
        <v>-1.3599999999999994</v>
      </c>
      <c r="Q34" s="6">
        <f t="shared" si="1"/>
        <v>0.94323873121869783</v>
      </c>
      <c r="R34" s="3" t="s">
        <v>24</v>
      </c>
    </row>
    <row r="35" spans="1:18">
      <c r="A35" s="2">
        <v>46183</v>
      </c>
      <c r="B35" s="3" t="s">
        <v>18</v>
      </c>
      <c r="C35" s="3" t="s">
        <v>3</v>
      </c>
      <c r="D35" s="3">
        <v>1</v>
      </c>
      <c r="E35" s="3"/>
      <c r="F35" s="4">
        <v>110</v>
      </c>
      <c r="G35" s="4">
        <v>1.93</v>
      </c>
      <c r="H35" s="4">
        <v>1.65</v>
      </c>
      <c r="I35" s="4">
        <v>138.30000000000007</v>
      </c>
      <c r="J35" s="4">
        <v>99.05</v>
      </c>
      <c r="K35" s="4"/>
      <c r="L35" s="4">
        <v>0</v>
      </c>
      <c r="M35" s="5"/>
      <c r="N35" s="5"/>
      <c r="O35" s="3"/>
      <c r="P35" s="4">
        <f t="shared" si="0"/>
        <v>-0.28000000000000003</v>
      </c>
      <c r="Q35" s="6">
        <f t="shared" si="1"/>
        <v>0.85492227979274604</v>
      </c>
      <c r="R35" s="3" t="s">
        <v>24</v>
      </c>
    </row>
    <row r="36" spans="1:18">
      <c r="A36" s="2">
        <v>46183</v>
      </c>
      <c r="B36" s="3" t="s">
        <v>18</v>
      </c>
      <c r="C36" s="3" t="s">
        <v>3</v>
      </c>
      <c r="D36" s="3">
        <v>2</v>
      </c>
      <c r="E36" s="3"/>
      <c r="F36" s="4">
        <v>110</v>
      </c>
      <c r="G36" s="4">
        <v>1.93</v>
      </c>
      <c r="H36" s="4">
        <v>1.71</v>
      </c>
      <c r="I36" s="4">
        <v>138.30000000000007</v>
      </c>
      <c r="J36" s="4">
        <v>102.99</v>
      </c>
      <c r="K36" s="4"/>
      <c r="L36" s="4">
        <v>0</v>
      </c>
      <c r="M36" s="5"/>
      <c r="N36" s="5"/>
      <c r="O36" s="3"/>
      <c r="P36" s="4">
        <f t="shared" si="0"/>
        <v>-0.21999999999999997</v>
      </c>
      <c r="Q36" s="6">
        <f t="shared" si="1"/>
        <v>0.88601036269430056</v>
      </c>
      <c r="R36" s="3" t="s">
        <v>24</v>
      </c>
    </row>
    <row r="37" spans="1:18">
      <c r="A37" s="2">
        <v>46183</v>
      </c>
      <c r="B37" s="3" t="s">
        <v>18</v>
      </c>
      <c r="C37" s="3" t="s">
        <v>3</v>
      </c>
      <c r="D37" s="3">
        <v>3</v>
      </c>
      <c r="E37" s="3"/>
      <c r="F37" s="4">
        <v>210</v>
      </c>
      <c r="G37" s="4">
        <v>3.9</v>
      </c>
      <c r="H37" s="4">
        <v>3.74</v>
      </c>
      <c r="I37" s="4">
        <v>279.99999999999989</v>
      </c>
      <c r="J37" s="4">
        <v>222.42</v>
      </c>
      <c r="K37" s="4"/>
      <c r="L37" s="4">
        <v>0</v>
      </c>
      <c r="M37" s="5"/>
      <c r="N37" s="5"/>
      <c r="O37" s="3"/>
      <c r="P37" s="4">
        <f t="shared" si="0"/>
        <v>-0.1599999999999997</v>
      </c>
      <c r="Q37" s="6">
        <f t="shared" si="1"/>
        <v>0.95897435897435901</v>
      </c>
      <c r="R37" s="3" t="s">
        <v>24</v>
      </c>
    </row>
    <row r="38" spans="1:18">
      <c r="A38" s="2">
        <v>46183</v>
      </c>
      <c r="B38" s="3" t="s">
        <v>18</v>
      </c>
      <c r="C38" s="3" t="s">
        <v>3</v>
      </c>
      <c r="D38" s="3">
        <v>4</v>
      </c>
      <c r="E38" s="3"/>
      <c r="F38" s="4">
        <v>210</v>
      </c>
      <c r="G38" s="4">
        <v>4</v>
      </c>
      <c r="H38" s="4">
        <v>3.69</v>
      </c>
      <c r="I38" s="4">
        <v>278</v>
      </c>
      <c r="J38" s="4">
        <v>79.739999999999995</v>
      </c>
      <c r="K38" s="4"/>
      <c r="L38" s="4">
        <v>0</v>
      </c>
      <c r="M38" s="5"/>
      <c r="N38" s="5"/>
      <c r="O38" s="3"/>
      <c r="P38" s="4">
        <f t="shared" si="0"/>
        <v>-0.31000000000000005</v>
      </c>
      <c r="Q38" s="6">
        <f t="shared" si="1"/>
        <v>0.92249999999999999</v>
      </c>
      <c r="R38" s="3" t="s">
        <v>24</v>
      </c>
    </row>
    <row r="39" spans="1:18">
      <c r="A39" s="2">
        <v>46183</v>
      </c>
      <c r="B39" s="3" t="s">
        <v>18</v>
      </c>
      <c r="C39" s="3" t="s">
        <v>3</v>
      </c>
      <c r="D39" s="3">
        <v>5</v>
      </c>
      <c r="E39" s="3"/>
      <c r="F39" s="4">
        <v>210</v>
      </c>
      <c r="G39" s="4">
        <v>4</v>
      </c>
      <c r="H39" s="4">
        <v>3.95</v>
      </c>
      <c r="I39" s="4">
        <v>282</v>
      </c>
      <c r="J39" s="4">
        <v>214.22</v>
      </c>
      <c r="K39" s="4"/>
      <c r="L39" s="4">
        <v>0</v>
      </c>
      <c r="M39" s="5"/>
      <c r="N39" s="5"/>
      <c r="O39" s="3"/>
      <c r="P39" s="4">
        <f t="shared" si="0"/>
        <v>-4.9999999999999822E-2</v>
      </c>
      <c r="Q39" s="6">
        <f t="shared" si="1"/>
        <v>0.98750000000000004</v>
      </c>
      <c r="R39" s="3" t="s">
        <v>24</v>
      </c>
    </row>
    <row r="40" spans="1:18">
      <c r="A40" s="2">
        <v>46183</v>
      </c>
      <c r="B40" s="3" t="s">
        <v>18</v>
      </c>
      <c r="C40" s="3" t="s">
        <v>3</v>
      </c>
      <c r="D40" s="3">
        <v>6</v>
      </c>
      <c r="E40" s="3"/>
      <c r="F40" s="4">
        <v>195</v>
      </c>
      <c r="G40" s="4">
        <v>4.0999999999999996</v>
      </c>
      <c r="H40" s="4">
        <v>3.85</v>
      </c>
      <c r="I40" s="4">
        <v>289.00000000000017</v>
      </c>
      <c r="J40" s="4">
        <v>280.19</v>
      </c>
      <c r="K40" s="4"/>
      <c r="L40" s="4">
        <v>0</v>
      </c>
      <c r="M40" s="5"/>
      <c r="N40" s="5"/>
      <c r="O40" s="3"/>
      <c r="P40" s="4">
        <f t="shared" si="0"/>
        <v>-0.24999999999999956</v>
      </c>
      <c r="Q40" s="6">
        <f t="shared" si="1"/>
        <v>0.9390243902439025</v>
      </c>
      <c r="R40" s="3" t="s">
        <v>24</v>
      </c>
    </row>
    <row r="41" spans="1:18">
      <c r="A41" s="2">
        <v>46183</v>
      </c>
      <c r="B41" s="3" t="s">
        <v>18</v>
      </c>
      <c r="C41" s="3" t="s">
        <v>3</v>
      </c>
      <c r="D41" s="3">
        <v>7</v>
      </c>
      <c r="E41" s="3"/>
      <c r="F41" s="4">
        <v>195</v>
      </c>
      <c r="G41" s="4">
        <v>4.0999999999999996</v>
      </c>
      <c r="H41" s="4">
        <v>4.01</v>
      </c>
      <c r="I41" s="4">
        <v>287.00000000000017</v>
      </c>
      <c r="J41" s="4">
        <v>238.52</v>
      </c>
      <c r="K41" s="4"/>
      <c r="L41" s="4">
        <v>0</v>
      </c>
      <c r="M41" s="5"/>
      <c r="N41" s="5"/>
      <c r="O41" s="3"/>
      <c r="P41" s="4">
        <f t="shared" si="0"/>
        <v>-8.9999999999999858E-2</v>
      </c>
      <c r="Q41" s="6">
        <f t="shared" si="1"/>
        <v>0.97804878048780486</v>
      </c>
      <c r="R41" s="3" t="s">
        <v>24</v>
      </c>
    </row>
    <row r="42" spans="1:18" hidden="1">
      <c r="A42" s="2">
        <v>46184</v>
      </c>
      <c r="B42" s="3" t="s">
        <v>18</v>
      </c>
      <c r="C42" s="3" t="s">
        <v>19</v>
      </c>
      <c r="D42" s="3"/>
      <c r="E42" s="3"/>
      <c r="F42" s="4">
        <v>1240</v>
      </c>
      <c r="G42" s="4">
        <v>23.96</v>
      </c>
      <c r="H42" s="4">
        <v>22.279999999999998</v>
      </c>
      <c r="I42" s="4">
        <v>1716.5600000000004</v>
      </c>
      <c r="J42" s="4">
        <v>1259.4100000000001</v>
      </c>
      <c r="K42" s="4">
        <v>14</v>
      </c>
      <c r="L42" s="4">
        <v>0</v>
      </c>
      <c r="M42" s="5"/>
      <c r="N42" s="5"/>
      <c r="O42" s="3"/>
      <c r="P42" s="4">
        <f t="shared" si="0"/>
        <v>-1.6800000000000033</v>
      </c>
      <c r="Q42" s="6">
        <f t="shared" si="1"/>
        <v>0.92988313856427363</v>
      </c>
      <c r="R42" s="3" t="s">
        <v>25</v>
      </c>
    </row>
    <row r="43" spans="1:18">
      <c r="A43" s="2">
        <v>46184</v>
      </c>
      <c r="B43" s="3" t="s">
        <v>18</v>
      </c>
      <c r="C43" s="3" t="s">
        <v>3</v>
      </c>
      <c r="D43" s="3">
        <v>1</v>
      </c>
      <c r="E43" s="3"/>
      <c r="F43" s="4">
        <v>110</v>
      </c>
      <c r="G43" s="4">
        <v>1.93</v>
      </c>
      <c r="H43" s="4">
        <v>1.65</v>
      </c>
      <c r="I43" s="4">
        <v>140.23000000000008</v>
      </c>
      <c r="J43" s="4">
        <v>100.7</v>
      </c>
      <c r="K43" s="4"/>
      <c r="L43" s="4">
        <v>0</v>
      </c>
      <c r="M43" s="5"/>
      <c r="N43" s="5"/>
      <c r="O43" s="3"/>
      <c r="P43" s="4">
        <f t="shared" si="0"/>
        <v>-0.28000000000000003</v>
      </c>
      <c r="Q43" s="6">
        <f t="shared" si="1"/>
        <v>0.85492227979274604</v>
      </c>
      <c r="R43" s="3" t="s">
        <v>25</v>
      </c>
    </row>
    <row r="44" spans="1:18">
      <c r="A44" s="2">
        <v>46184</v>
      </c>
      <c r="B44" s="3" t="s">
        <v>18</v>
      </c>
      <c r="C44" s="3" t="s">
        <v>3</v>
      </c>
      <c r="D44" s="3">
        <v>2</v>
      </c>
      <c r="E44" s="3"/>
      <c r="F44" s="4">
        <v>110</v>
      </c>
      <c r="G44" s="4">
        <v>1.93</v>
      </c>
      <c r="H44" s="4">
        <v>1.7</v>
      </c>
      <c r="I44" s="4">
        <v>140.23000000000008</v>
      </c>
      <c r="J44" s="4">
        <v>104.69</v>
      </c>
      <c r="K44" s="4"/>
      <c r="L44" s="4">
        <v>0</v>
      </c>
      <c r="M44" s="5"/>
      <c r="N44" s="5"/>
      <c r="O44" s="3"/>
      <c r="P44" s="4">
        <f t="shared" si="0"/>
        <v>-0.22999999999999998</v>
      </c>
      <c r="Q44" s="6">
        <f t="shared" si="1"/>
        <v>0.88082901554404147</v>
      </c>
      <c r="R44" s="3" t="s">
        <v>25</v>
      </c>
    </row>
    <row r="45" spans="1:18">
      <c r="A45" s="2">
        <v>46184</v>
      </c>
      <c r="B45" s="3" t="s">
        <v>18</v>
      </c>
      <c r="C45" s="3" t="s">
        <v>3</v>
      </c>
      <c r="D45" s="3">
        <v>3</v>
      </c>
      <c r="E45" s="3"/>
      <c r="F45" s="4">
        <v>210</v>
      </c>
      <c r="G45" s="4">
        <v>3.9</v>
      </c>
      <c r="H45" s="4">
        <v>3.7</v>
      </c>
      <c r="I45" s="4">
        <v>283.89999999999986</v>
      </c>
      <c r="J45" s="4">
        <v>226.12</v>
      </c>
      <c r="K45" s="4"/>
      <c r="L45" s="4">
        <v>0</v>
      </c>
      <c r="M45" s="5"/>
      <c r="N45" s="5"/>
      <c r="O45" s="3"/>
      <c r="P45" s="4">
        <f t="shared" si="0"/>
        <v>-0.19999999999999973</v>
      </c>
      <c r="Q45" s="6">
        <f t="shared" si="1"/>
        <v>0.94871794871794879</v>
      </c>
      <c r="R45" s="3" t="s">
        <v>25</v>
      </c>
    </row>
    <row r="46" spans="1:18">
      <c r="A46" s="2">
        <v>46184</v>
      </c>
      <c r="B46" s="3" t="s">
        <v>18</v>
      </c>
      <c r="C46" s="3" t="s">
        <v>3</v>
      </c>
      <c r="D46" s="3">
        <v>4</v>
      </c>
      <c r="E46" s="3"/>
      <c r="F46" s="4">
        <v>210</v>
      </c>
      <c r="G46" s="4">
        <v>4</v>
      </c>
      <c r="H46" s="4">
        <v>3.38</v>
      </c>
      <c r="I46" s="4">
        <v>282</v>
      </c>
      <c r="J46" s="4">
        <v>83.12</v>
      </c>
      <c r="K46" s="4"/>
      <c r="L46" s="4">
        <v>0</v>
      </c>
      <c r="M46" s="5"/>
      <c r="N46" s="5"/>
      <c r="O46" s="3"/>
      <c r="P46" s="4">
        <f t="shared" si="0"/>
        <v>-0.62000000000000011</v>
      </c>
      <c r="Q46" s="6">
        <f t="shared" si="1"/>
        <v>0.84499999999999997</v>
      </c>
      <c r="R46" s="3" t="s">
        <v>25</v>
      </c>
    </row>
    <row r="47" spans="1:18">
      <c r="A47" s="2">
        <v>46184</v>
      </c>
      <c r="B47" s="3" t="s">
        <v>18</v>
      </c>
      <c r="C47" s="3" t="s">
        <v>3</v>
      </c>
      <c r="D47" s="3">
        <v>5</v>
      </c>
      <c r="E47" s="3"/>
      <c r="F47" s="4">
        <v>210</v>
      </c>
      <c r="G47" s="4">
        <v>4</v>
      </c>
      <c r="H47" s="4">
        <v>3.99</v>
      </c>
      <c r="I47" s="4">
        <v>286</v>
      </c>
      <c r="J47" s="4">
        <v>218.21</v>
      </c>
      <c r="K47" s="4"/>
      <c r="L47" s="4">
        <v>0</v>
      </c>
      <c r="M47" s="5"/>
      <c r="N47" s="5"/>
      <c r="O47" s="3"/>
      <c r="P47" s="4">
        <f t="shared" si="0"/>
        <v>-9.9999999999997868E-3</v>
      </c>
      <c r="Q47" s="6">
        <f t="shared" si="1"/>
        <v>0.99750000000000005</v>
      </c>
      <c r="R47" s="3" t="s">
        <v>25</v>
      </c>
    </row>
    <row r="48" spans="1:18">
      <c r="A48" s="2">
        <v>46184</v>
      </c>
      <c r="B48" s="3" t="s">
        <v>18</v>
      </c>
      <c r="C48" s="3" t="s">
        <v>3</v>
      </c>
      <c r="D48" s="3">
        <v>6</v>
      </c>
      <c r="E48" s="3"/>
      <c r="F48" s="4">
        <v>195</v>
      </c>
      <c r="G48" s="4">
        <v>4.0999999999999996</v>
      </c>
      <c r="H48" s="4">
        <v>3.84</v>
      </c>
      <c r="I48" s="4">
        <v>293.10000000000019</v>
      </c>
      <c r="J48" s="4">
        <v>284.02999999999997</v>
      </c>
      <c r="K48" s="4"/>
      <c r="L48" s="4">
        <v>0</v>
      </c>
      <c r="M48" s="5"/>
      <c r="N48" s="5"/>
      <c r="O48" s="3"/>
      <c r="P48" s="4">
        <f t="shared" si="0"/>
        <v>-0.25999999999999979</v>
      </c>
      <c r="Q48" s="6">
        <f t="shared" si="1"/>
        <v>0.93658536585365859</v>
      </c>
      <c r="R48" s="3" t="s">
        <v>25</v>
      </c>
    </row>
    <row r="49" spans="1:18">
      <c r="A49" s="2">
        <v>46184</v>
      </c>
      <c r="B49" s="3" t="s">
        <v>18</v>
      </c>
      <c r="C49" s="3" t="s">
        <v>3</v>
      </c>
      <c r="D49" s="3">
        <v>7</v>
      </c>
      <c r="E49" s="3"/>
      <c r="F49" s="4">
        <v>195</v>
      </c>
      <c r="G49" s="4">
        <v>4.0999999999999996</v>
      </c>
      <c r="H49" s="4">
        <v>4.0199999999999996</v>
      </c>
      <c r="I49" s="4">
        <v>291.10000000000019</v>
      </c>
      <c r="J49" s="4">
        <v>242.54</v>
      </c>
      <c r="K49" s="4"/>
      <c r="L49" s="4">
        <v>0</v>
      </c>
      <c r="M49" s="5"/>
      <c r="N49" s="5"/>
      <c r="O49" s="3"/>
      <c r="P49" s="4">
        <f t="shared" si="0"/>
        <v>-8.0000000000000071E-2</v>
      </c>
      <c r="Q49" s="6">
        <f t="shared" si="1"/>
        <v>0.98048780487804876</v>
      </c>
      <c r="R49" s="3" t="s">
        <v>25</v>
      </c>
    </row>
    <row r="50" spans="1:18" hidden="1">
      <c r="A50" s="2">
        <v>46185</v>
      </c>
      <c r="B50" s="3" t="s">
        <v>18</v>
      </c>
      <c r="C50" s="3" t="s">
        <v>19</v>
      </c>
      <c r="D50" s="3"/>
      <c r="E50" s="3"/>
      <c r="F50" s="4">
        <v>1240</v>
      </c>
      <c r="G50" s="4">
        <v>23.96</v>
      </c>
      <c r="H50" s="4">
        <v>21.58</v>
      </c>
      <c r="I50" s="4">
        <v>1740.5200000000004</v>
      </c>
      <c r="J50" s="4">
        <v>1280.9900000000002</v>
      </c>
      <c r="K50" s="4">
        <v>14</v>
      </c>
      <c r="L50" s="4">
        <v>0</v>
      </c>
      <c r="M50" s="5"/>
      <c r="N50" s="5"/>
      <c r="O50" s="3"/>
      <c r="P50" s="4">
        <f t="shared" si="0"/>
        <v>-2.3800000000000026</v>
      </c>
      <c r="Q50" s="6">
        <f t="shared" si="1"/>
        <v>0.90066777963272104</v>
      </c>
      <c r="R50" s="3" t="s">
        <v>26</v>
      </c>
    </row>
    <row r="51" spans="1:18">
      <c r="A51" s="2">
        <v>46185</v>
      </c>
      <c r="B51" s="3" t="s">
        <v>18</v>
      </c>
      <c r="C51" s="3" t="s">
        <v>3</v>
      </c>
      <c r="D51" s="3">
        <v>1</v>
      </c>
      <c r="E51" s="3"/>
      <c r="F51" s="4">
        <v>110</v>
      </c>
      <c r="G51" s="4">
        <v>1.93</v>
      </c>
      <c r="H51" s="4">
        <v>1.56</v>
      </c>
      <c r="I51" s="4">
        <v>142.16000000000008</v>
      </c>
      <c r="J51" s="4">
        <v>102.26</v>
      </c>
      <c r="K51" s="4"/>
      <c r="L51" s="4">
        <v>0</v>
      </c>
      <c r="M51" s="5"/>
      <c r="N51" s="5"/>
      <c r="O51" s="3"/>
      <c r="P51" s="4">
        <f t="shared" si="0"/>
        <v>-0.36999999999999988</v>
      </c>
      <c r="Q51" s="6">
        <f t="shared" si="1"/>
        <v>0.8082901554404146</v>
      </c>
      <c r="R51" s="3" t="s">
        <v>26</v>
      </c>
    </row>
    <row r="52" spans="1:18">
      <c r="A52" s="2">
        <v>46185</v>
      </c>
      <c r="B52" s="3" t="s">
        <v>18</v>
      </c>
      <c r="C52" s="3" t="s">
        <v>3</v>
      </c>
      <c r="D52" s="3">
        <v>2</v>
      </c>
      <c r="E52" s="3"/>
      <c r="F52" s="4">
        <v>110</v>
      </c>
      <c r="G52" s="4">
        <v>1.93</v>
      </c>
      <c r="H52" s="4">
        <v>1.59</v>
      </c>
      <c r="I52" s="4">
        <v>142.16000000000008</v>
      </c>
      <c r="J52" s="4">
        <v>106.28</v>
      </c>
      <c r="K52" s="4"/>
      <c r="L52" s="4">
        <v>0</v>
      </c>
      <c r="M52" s="5"/>
      <c r="N52" s="5"/>
      <c r="O52" s="3"/>
      <c r="P52" s="4">
        <f t="shared" si="0"/>
        <v>-0.33999999999999986</v>
      </c>
      <c r="Q52" s="6">
        <f t="shared" si="1"/>
        <v>0.82383419689119175</v>
      </c>
      <c r="R52" s="3" t="s">
        <v>26</v>
      </c>
    </row>
    <row r="53" spans="1:18">
      <c r="A53" s="2">
        <v>46185</v>
      </c>
      <c r="B53" s="3" t="s">
        <v>18</v>
      </c>
      <c r="C53" s="3" t="s">
        <v>3</v>
      </c>
      <c r="D53" s="3">
        <v>3</v>
      </c>
      <c r="E53" s="3"/>
      <c r="F53" s="4">
        <v>210</v>
      </c>
      <c r="G53" s="4">
        <v>3.9</v>
      </c>
      <c r="H53" s="4">
        <v>3.56</v>
      </c>
      <c r="I53" s="4">
        <v>287.79999999999984</v>
      </c>
      <c r="J53" s="4">
        <v>229.68</v>
      </c>
      <c r="K53" s="4"/>
      <c r="L53" s="4">
        <v>0</v>
      </c>
      <c r="M53" s="5"/>
      <c r="N53" s="5"/>
      <c r="O53" s="3"/>
      <c r="P53" s="4">
        <f t="shared" si="0"/>
        <v>-0.33999999999999986</v>
      </c>
      <c r="Q53" s="6">
        <f t="shared" si="1"/>
        <v>0.91282051282051291</v>
      </c>
      <c r="R53" s="3" t="s">
        <v>26</v>
      </c>
    </row>
    <row r="54" spans="1:18">
      <c r="A54" s="2">
        <v>46185</v>
      </c>
      <c r="B54" s="3" t="s">
        <v>18</v>
      </c>
      <c r="C54" s="3" t="s">
        <v>3</v>
      </c>
      <c r="D54" s="3">
        <v>4</v>
      </c>
      <c r="E54" s="3"/>
      <c r="F54" s="4">
        <v>210</v>
      </c>
      <c r="G54" s="4">
        <v>4</v>
      </c>
      <c r="H54" s="4">
        <v>3.38</v>
      </c>
      <c r="I54" s="4">
        <v>286</v>
      </c>
      <c r="J54" s="4">
        <v>86.5</v>
      </c>
      <c r="K54" s="4"/>
      <c r="L54" s="4">
        <v>0</v>
      </c>
      <c r="M54" s="5"/>
      <c r="N54" s="5"/>
      <c r="O54" s="3"/>
      <c r="P54" s="4">
        <f t="shared" si="0"/>
        <v>-0.62000000000000011</v>
      </c>
      <c r="Q54" s="6">
        <f t="shared" si="1"/>
        <v>0.84499999999999997</v>
      </c>
      <c r="R54" s="3" t="s">
        <v>26</v>
      </c>
    </row>
    <row r="55" spans="1:18">
      <c r="A55" s="2">
        <v>46185</v>
      </c>
      <c r="B55" s="3" t="s">
        <v>18</v>
      </c>
      <c r="C55" s="3" t="s">
        <v>3</v>
      </c>
      <c r="D55" s="3">
        <v>5</v>
      </c>
      <c r="E55" s="3"/>
      <c r="F55" s="4">
        <v>210</v>
      </c>
      <c r="G55" s="4">
        <v>4</v>
      </c>
      <c r="H55" s="4">
        <v>3.83</v>
      </c>
      <c r="I55" s="4">
        <v>290</v>
      </c>
      <c r="J55" s="4">
        <v>222.04</v>
      </c>
      <c r="K55" s="4"/>
      <c r="L55" s="4">
        <v>0</v>
      </c>
      <c r="M55" s="5"/>
      <c r="N55" s="5"/>
      <c r="O55" s="3"/>
      <c r="P55" s="4">
        <f t="shared" si="0"/>
        <v>-0.16999999999999993</v>
      </c>
      <c r="Q55" s="6">
        <f t="shared" si="1"/>
        <v>0.95750000000000002</v>
      </c>
      <c r="R55" s="3" t="s">
        <v>26</v>
      </c>
    </row>
    <row r="56" spans="1:18">
      <c r="A56" s="2">
        <v>46185</v>
      </c>
      <c r="B56" s="3" t="s">
        <v>18</v>
      </c>
      <c r="C56" s="3" t="s">
        <v>3</v>
      </c>
      <c r="D56" s="3">
        <v>6</v>
      </c>
      <c r="E56" s="3"/>
      <c r="F56" s="4">
        <v>195</v>
      </c>
      <c r="G56" s="4">
        <v>4.0999999999999996</v>
      </c>
      <c r="H56" s="4">
        <v>3.84</v>
      </c>
      <c r="I56" s="4">
        <v>297.20000000000022</v>
      </c>
      <c r="J56" s="4">
        <v>287.87</v>
      </c>
      <c r="K56" s="4"/>
      <c r="L56" s="4">
        <v>0</v>
      </c>
      <c r="M56" s="5"/>
      <c r="N56" s="5"/>
      <c r="O56" s="3"/>
      <c r="P56" s="4">
        <f t="shared" si="0"/>
        <v>-0.25999999999999979</v>
      </c>
      <c r="Q56" s="6">
        <f t="shared" si="1"/>
        <v>0.93658536585365859</v>
      </c>
      <c r="R56" s="3" t="s">
        <v>26</v>
      </c>
    </row>
    <row r="57" spans="1:18">
      <c r="A57" s="2">
        <v>46185</v>
      </c>
      <c r="B57" s="3" t="s">
        <v>18</v>
      </c>
      <c r="C57" s="3" t="s">
        <v>3</v>
      </c>
      <c r="D57" s="3">
        <v>7</v>
      </c>
      <c r="E57" s="3"/>
      <c r="F57" s="4">
        <v>195</v>
      </c>
      <c r="G57" s="4">
        <v>4.0999999999999996</v>
      </c>
      <c r="H57" s="4">
        <v>3.82</v>
      </c>
      <c r="I57" s="4">
        <v>295.20000000000022</v>
      </c>
      <c r="J57" s="4">
        <v>246.36</v>
      </c>
      <c r="K57" s="4"/>
      <c r="L57" s="4">
        <v>0</v>
      </c>
      <c r="M57" s="5"/>
      <c r="N57" s="5"/>
      <c r="O57" s="3"/>
      <c r="P57" s="4">
        <f t="shared" si="0"/>
        <v>-0.2799999999999998</v>
      </c>
      <c r="Q57" s="6">
        <f t="shared" si="1"/>
        <v>0.93170731707317078</v>
      </c>
      <c r="R57" s="3" t="s">
        <v>26</v>
      </c>
    </row>
    <row r="58" spans="1:18" hidden="1">
      <c r="A58" s="2">
        <v>46186</v>
      </c>
      <c r="B58" s="3" t="s">
        <v>18</v>
      </c>
      <c r="C58" s="3" t="s">
        <v>19</v>
      </c>
      <c r="D58" s="3"/>
      <c r="E58" s="3"/>
      <c r="F58" s="4">
        <v>1240</v>
      </c>
      <c r="G58" s="4">
        <v>23.96</v>
      </c>
      <c r="H58" s="4">
        <v>21.74</v>
      </c>
      <c r="I58" s="4">
        <v>1764.4800000000005</v>
      </c>
      <c r="J58" s="4">
        <v>1302.73</v>
      </c>
      <c r="K58" s="4">
        <v>14</v>
      </c>
      <c r="L58" s="4">
        <v>0</v>
      </c>
      <c r="M58" s="5"/>
      <c r="N58" s="5"/>
      <c r="O58" s="3"/>
      <c r="P58" s="4">
        <f t="shared" si="0"/>
        <v>-2.2200000000000024</v>
      </c>
      <c r="Q58" s="6">
        <f t="shared" si="1"/>
        <v>0.90734557595993315</v>
      </c>
      <c r="R58" s="3" t="s">
        <v>27</v>
      </c>
    </row>
    <row r="59" spans="1:18">
      <c r="A59" s="2">
        <v>46186</v>
      </c>
      <c r="B59" s="3" t="s">
        <v>18</v>
      </c>
      <c r="C59" s="3" t="s">
        <v>3</v>
      </c>
      <c r="D59" s="3">
        <v>1</v>
      </c>
      <c r="E59" s="3"/>
      <c r="F59" s="4">
        <v>110</v>
      </c>
      <c r="G59" s="4">
        <v>1.93</v>
      </c>
      <c r="H59" s="4">
        <v>1.57</v>
      </c>
      <c r="I59" s="4">
        <v>144.09000000000009</v>
      </c>
      <c r="J59" s="4">
        <v>103.83</v>
      </c>
      <c r="K59" s="4"/>
      <c r="L59" s="4">
        <v>0</v>
      </c>
      <c r="M59" s="5"/>
      <c r="N59" s="5"/>
      <c r="O59" s="3"/>
      <c r="P59" s="4">
        <f t="shared" si="0"/>
        <v>-0.35999999999999988</v>
      </c>
      <c r="Q59" s="6">
        <f t="shared" si="1"/>
        <v>0.81347150259067358</v>
      </c>
      <c r="R59" s="3" t="s">
        <v>27</v>
      </c>
    </row>
    <row r="60" spans="1:18">
      <c r="A60" s="2">
        <v>46186</v>
      </c>
      <c r="B60" s="3" t="s">
        <v>18</v>
      </c>
      <c r="C60" s="3" t="s">
        <v>3</v>
      </c>
      <c r="D60" s="3">
        <v>2</v>
      </c>
      <c r="E60" s="3"/>
      <c r="F60" s="4">
        <v>110</v>
      </c>
      <c r="G60" s="4">
        <v>1.93</v>
      </c>
      <c r="H60" s="4">
        <v>1.59</v>
      </c>
      <c r="I60" s="4">
        <v>144.09000000000009</v>
      </c>
      <c r="J60" s="4">
        <v>107.87</v>
      </c>
      <c r="K60" s="4"/>
      <c r="L60" s="4">
        <v>0</v>
      </c>
      <c r="M60" s="5"/>
      <c r="N60" s="5"/>
      <c r="O60" s="3"/>
      <c r="P60" s="4">
        <f t="shared" si="0"/>
        <v>-0.33999999999999986</v>
      </c>
      <c r="Q60" s="6">
        <f t="shared" si="1"/>
        <v>0.82383419689119175</v>
      </c>
      <c r="R60" s="3" t="s">
        <v>27</v>
      </c>
    </row>
    <row r="61" spans="1:18">
      <c r="A61" s="2">
        <v>46186</v>
      </c>
      <c r="B61" s="3" t="s">
        <v>18</v>
      </c>
      <c r="C61" s="3" t="s">
        <v>3</v>
      </c>
      <c r="D61" s="3">
        <v>3</v>
      </c>
      <c r="E61" s="3"/>
      <c r="F61" s="4">
        <v>210</v>
      </c>
      <c r="G61" s="4">
        <v>3.9</v>
      </c>
      <c r="H61" s="4">
        <v>3.61</v>
      </c>
      <c r="I61" s="4">
        <v>291.69999999999982</v>
      </c>
      <c r="J61" s="4">
        <v>233.29</v>
      </c>
      <c r="K61" s="4"/>
      <c r="L61" s="4">
        <v>0</v>
      </c>
      <c r="M61" s="5"/>
      <c r="N61" s="5"/>
      <c r="O61" s="3"/>
      <c r="P61" s="4">
        <f t="shared" si="0"/>
        <v>-0.29000000000000004</v>
      </c>
      <c r="Q61" s="6">
        <f t="shared" si="1"/>
        <v>0.92564102564102568</v>
      </c>
      <c r="R61" s="3" t="s">
        <v>27</v>
      </c>
    </row>
    <row r="62" spans="1:18">
      <c r="A62" s="2">
        <v>46186</v>
      </c>
      <c r="B62" s="3" t="s">
        <v>18</v>
      </c>
      <c r="C62" s="3" t="s">
        <v>3</v>
      </c>
      <c r="D62" s="3">
        <v>4</v>
      </c>
      <c r="E62" s="3"/>
      <c r="F62" s="4">
        <v>210</v>
      </c>
      <c r="G62" s="4">
        <v>4</v>
      </c>
      <c r="H62" s="4">
        <v>3.38</v>
      </c>
      <c r="I62" s="4">
        <v>290</v>
      </c>
      <c r="J62" s="4">
        <v>89.88</v>
      </c>
      <c r="K62" s="4"/>
      <c r="L62" s="4">
        <v>0</v>
      </c>
      <c r="M62" s="5"/>
      <c r="N62" s="5"/>
      <c r="O62" s="3"/>
      <c r="P62" s="4">
        <f t="shared" si="0"/>
        <v>-0.62000000000000011</v>
      </c>
      <c r="Q62" s="6">
        <f t="shared" si="1"/>
        <v>0.84499999999999997</v>
      </c>
      <c r="R62" s="3" t="s">
        <v>27</v>
      </c>
    </row>
    <row r="63" spans="1:18">
      <c r="A63" s="2">
        <v>46186</v>
      </c>
      <c r="B63" s="3" t="s">
        <v>18</v>
      </c>
      <c r="C63" s="3" t="s">
        <v>3</v>
      </c>
      <c r="D63" s="3">
        <v>5</v>
      </c>
      <c r="E63" s="3"/>
      <c r="F63" s="4">
        <v>210</v>
      </c>
      <c r="G63" s="4">
        <v>4</v>
      </c>
      <c r="H63" s="4">
        <v>3.88</v>
      </c>
      <c r="I63" s="4">
        <v>294</v>
      </c>
      <c r="J63" s="4">
        <v>225.92</v>
      </c>
      <c r="K63" s="4"/>
      <c r="L63" s="4">
        <v>0</v>
      </c>
      <c r="M63" s="5"/>
      <c r="N63" s="5"/>
      <c r="O63" s="3"/>
      <c r="P63" s="4">
        <f t="shared" si="0"/>
        <v>-0.12000000000000011</v>
      </c>
      <c r="Q63" s="6">
        <f t="shared" si="1"/>
        <v>0.97</v>
      </c>
      <c r="R63" s="3" t="s">
        <v>27</v>
      </c>
    </row>
    <row r="64" spans="1:18">
      <c r="A64" s="2">
        <v>46186</v>
      </c>
      <c r="B64" s="3" t="s">
        <v>18</v>
      </c>
      <c r="C64" s="3" t="s">
        <v>3</v>
      </c>
      <c r="D64" s="3">
        <v>6</v>
      </c>
      <c r="E64" s="3"/>
      <c r="F64" s="4">
        <v>195</v>
      </c>
      <c r="G64" s="4">
        <v>4.0999999999999996</v>
      </c>
      <c r="H64" s="4">
        <v>3.84</v>
      </c>
      <c r="I64" s="4">
        <v>301.30000000000024</v>
      </c>
      <c r="J64" s="4">
        <v>291.70999999999998</v>
      </c>
      <c r="K64" s="4"/>
      <c r="L64" s="4">
        <v>0</v>
      </c>
      <c r="M64" s="5"/>
      <c r="N64" s="5"/>
      <c r="O64" s="3"/>
      <c r="P64" s="4">
        <f t="shared" si="0"/>
        <v>-0.25999999999999979</v>
      </c>
      <c r="Q64" s="6">
        <f t="shared" si="1"/>
        <v>0.93658536585365859</v>
      </c>
      <c r="R64" s="3" t="s">
        <v>27</v>
      </c>
    </row>
    <row r="65" spans="1:18">
      <c r="A65" s="2">
        <v>46186</v>
      </c>
      <c r="B65" s="3" t="s">
        <v>18</v>
      </c>
      <c r="C65" s="3" t="s">
        <v>3</v>
      </c>
      <c r="D65" s="3">
        <v>7</v>
      </c>
      <c r="E65" s="3"/>
      <c r="F65" s="4">
        <v>195</v>
      </c>
      <c r="G65" s="4">
        <v>4.0999999999999996</v>
      </c>
      <c r="H65" s="4">
        <v>3.87</v>
      </c>
      <c r="I65" s="4">
        <v>299.30000000000024</v>
      </c>
      <c r="J65" s="4">
        <v>250.23</v>
      </c>
      <c r="K65" s="4"/>
      <c r="L65" s="4">
        <v>0</v>
      </c>
      <c r="M65" s="5"/>
      <c r="N65" s="5"/>
      <c r="O65" s="3"/>
      <c r="P65" s="4">
        <f t="shared" si="0"/>
        <v>-0.22999999999999954</v>
      </c>
      <c r="Q65" s="6">
        <f t="shared" si="1"/>
        <v>0.94390243902439031</v>
      </c>
      <c r="R65" s="3" t="s">
        <v>27</v>
      </c>
    </row>
    <row r="66" spans="1:18" hidden="1">
      <c r="A66" s="2">
        <v>46187</v>
      </c>
      <c r="B66" s="3" t="s">
        <v>18</v>
      </c>
      <c r="C66" s="3" t="s">
        <v>19</v>
      </c>
      <c r="D66" s="3"/>
      <c r="E66" s="3"/>
      <c r="F66" s="4">
        <v>1240</v>
      </c>
      <c r="G66" s="4">
        <v>23.96</v>
      </c>
      <c r="H66" s="4">
        <v>21.02</v>
      </c>
      <c r="I66" s="4">
        <v>1788.4400000000005</v>
      </c>
      <c r="J66" s="4">
        <v>1323.75</v>
      </c>
      <c r="K66" s="4">
        <v>13</v>
      </c>
      <c r="L66" s="4">
        <v>0</v>
      </c>
      <c r="M66" s="5"/>
      <c r="N66" s="5"/>
      <c r="O66" s="3"/>
      <c r="P66" s="4">
        <f t="shared" ref="P66:P129" si="2">IF(OR(G66="",H66=""),"",H66-G66)</f>
        <v>-2.9400000000000013</v>
      </c>
      <c r="Q66" s="6">
        <f t="shared" ref="Q66:Q129" si="3">IF(OR(G66="",G66=0,H66=""),"",H66/G66)</f>
        <v>0.87729549248747907</v>
      </c>
      <c r="R66" s="3" t="s">
        <v>28</v>
      </c>
    </row>
    <row r="67" spans="1:18">
      <c r="A67" s="2">
        <v>46187</v>
      </c>
      <c r="B67" s="3" t="s">
        <v>18</v>
      </c>
      <c r="C67" s="3" t="s">
        <v>3</v>
      </c>
      <c r="D67" s="3">
        <v>1</v>
      </c>
      <c r="E67" s="3"/>
      <c r="F67" s="4">
        <v>110</v>
      </c>
      <c r="G67" s="4">
        <v>1.93</v>
      </c>
      <c r="H67" s="4">
        <v>1.48</v>
      </c>
      <c r="I67" s="4">
        <v>146.0200000000001</v>
      </c>
      <c r="J67" s="4">
        <v>105.31</v>
      </c>
      <c r="K67" s="4"/>
      <c r="L67" s="4">
        <v>0</v>
      </c>
      <c r="M67" s="5"/>
      <c r="N67" s="5"/>
      <c r="O67" s="3"/>
      <c r="P67" s="4">
        <f t="shared" si="2"/>
        <v>-0.44999999999999996</v>
      </c>
      <c r="Q67" s="6">
        <f t="shared" si="3"/>
        <v>0.76683937823834203</v>
      </c>
      <c r="R67" s="3" t="s">
        <v>28</v>
      </c>
    </row>
    <row r="68" spans="1:18">
      <c r="A68" s="2">
        <v>46187</v>
      </c>
      <c r="B68" s="3" t="s">
        <v>18</v>
      </c>
      <c r="C68" s="3" t="s">
        <v>3</v>
      </c>
      <c r="D68" s="3">
        <v>2</v>
      </c>
      <c r="E68" s="3"/>
      <c r="F68" s="4">
        <v>110</v>
      </c>
      <c r="G68" s="4">
        <v>1.93</v>
      </c>
      <c r="H68" s="4">
        <v>1.48</v>
      </c>
      <c r="I68" s="4">
        <v>146.0200000000001</v>
      </c>
      <c r="J68" s="4">
        <v>109.35</v>
      </c>
      <c r="K68" s="4"/>
      <c r="L68" s="4">
        <v>0</v>
      </c>
      <c r="M68" s="5"/>
      <c r="N68" s="5"/>
      <c r="O68" s="3"/>
      <c r="P68" s="4">
        <f t="shared" si="2"/>
        <v>-0.44999999999999996</v>
      </c>
      <c r="Q68" s="6">
        <f t="shared" si="3"/>
        <v>0.76683937823834203</v>
      </c>
      <c r="R68" s="3" t="s">
        <v>28</v>
      </c>
    </row>
    <row r="69" spans="1:18">
      <c r="A69" s="2">
        <v>46187</v>
      </c>
      <c r="B69" s="3" t="s">
        <v>18</v>
      </c>
      <c r="C69" s="3" t="s">
        <v>3</v>
      </c>
      <c r="D69" s="3">
        <v>3</v>
      </c>
      <c r="E69" s="3"/>
      <c r="F69" s="4">
        <v>210</v>
      </c>
      <c r="G69" s="4">
        <v>3.9</v>
      </c>
      <c r="H69" s="4">
        <v>3.44</v>
      </c>
      <c r="I69" s="4">
        <v>295.5999999999998</v>
      </c>
      <c r="J69" s="4">
        <v>236.73</v>
      </c>
      <c r="K69" s="4"/>
      <c r="L69" s="4">
        <v>0</v>
      </c>
      <c r="M69" s="5"/>
      <c r="N69" s="5"/>
      <c r="O69" s="3"/>
      <c r="P69" s="4">
        <f t="shared" si="2"/>
        <v>-0.45999999999999996</v>
      </c>
      <c r="Q69" s="6">
        <f t="shared" si="3"/>
        <v>0.88205128205128203</v>
      </c>
      <c r="R69" s="3" t="s">
        <v>28</v>
      </c>
    </row>
    <row r="70" spans="1:18">
      <c r="A70" s="2">
        <v>46187</v>
      </c>
      <c r="B70" s="3" t="s">
        <v>18</v>
      </c>
      <c r="C70" s="3" t="s">
        <v>3</v>
      </c>
      <c r="D70" s="3">
        <v>4</v>
      </c>
      <c r="E70" s="3"/>
      <c r="F70" s="4">
        <v>210</v>
      </c>
      <c r="G70" s="4">
        <v>4</v>
      </c>
      <c r="H70" s="4">
        <v>3.38</v>
      </c>
      <c r="I70" s="4">
        <v>294</v>
      </c>
      <c r="J70" s="4">
        <v>93.26</v>
      </c>
      <c r="K70" s="4"/>
      <c r="L70" s="4">
        <v>0</v>
      </c>
      <c r="M70" s="5"/>
      <c r="N70" s="5"/>
      <c r="O70" s="3"/>
      <c r="P70" s="4">
        <f t="shared" si="2"/>
        <v>-0.62000000000000011</v>
      </c>
      <c r="Q70" s="6">
        <f t="shared" si="3"/>
        <v>0.84499999999999997</v>
      </c>
      <c r="R70" s="3" t="s">
        <v>28</v>
      </c>
    </row>
    <row r="71" spans="1:18">
      <c r="A71" s="2">
        <v>46187</v>
      </c>
      <c r="B71" s="3" t="s">
        <v>18</v>
      </c>
      <c r="C71" s="3" t="s">
        <v>3</v>
      </c>
      <c r="D71" s="3">
        <v>5</v>
      </c>
      <c r="E71" s="3"/>
      <c r="F71" s="4">
        <v>210</v>
      </c>
      <c r="G71" s="4">
        <v>4</v>
      </c>
      <c r="H71" s="4">
        <v>3.67</v>
      </c>
      <c r="I71" s="4">
        <v>298</v>
      </c>
      <c r="J71" s="4">
        <v>229.59</v>
      </c>
      <c r="K71" s="4"/>
      <c r="L71" s="4">
        <v>0</v>
      </c>
      <c r="M71" s="5"/>
      <c r="N71" s="5"/>
      <c r="O71" s="3"/>
      <c r="P71" s="4">
        <f t="shared" si="2"/>
        <v>-0.33000000000000007</v>
      </c>
      <c r="Q71" s="6">
        <f t="shared" si="3"/>
        <v>0.91749999999999998</v>
      </c>
      <c r="R71" s="3" t="s">
        <v>28</v>
      </c>
    </row>
    <row r="72" spans="1:18">
      <c r="A72" s="2">
        <v>46187</v>
      </c>
      <c r="B72" s="3" t="s">
        <v>18</v>
      </c>
      <c r="C72" s="3" t="s">
        <v>3</v>
      </c>
      <c r="D72" s="3">
        <v>6</v>
      </c>
      <c r="E72" s="3"/>
      <c r="F72" s="4">
        <v>195</v>
      </c>
      <c r="G72" s="4">
        <v>4.0999999999999996</v>
      </c>
      <c r="H72" s="4">
        <v>3.85</v>
      </c>
      <c r="I72" s="4">
        <v>305.40000000000026</v>
      </c>
      <c r="J72" s="4">
        <v>295.56</v>
      </c>
      <c r="K72" s="4"/>
      <c r="L72" s="4">
        <v>0</v>
      </c>
      <c r="M72" s="5"/>
      <c r="N72" s="5"/>
      <c r="O72" s="3"/>
      <c r="P72" s="4">
        <f t="shared" si="2"/>
        <v>-0.24999999999999956</v>
      </c>
      <c r="Q72" s="6">
        <f t="shared" si="3"/>
        <v>0.9390243902439025</v>
      </c>
      <c r="R72" s="3" t="s">
        <v>28</v>
      </c>
    </row>
    <row r="73" spans="1:18">
      <c r="A73" s="2">
        <v>46187</v>
      </c>
      <c r="B73" s="3" t="s">
        <v>18</v>
      </c>
      <c r="C73" s="3" t="s">
        <v>3</v>
      </c>
      <c r="D73" s="3">
        <v>7</v>
      </c>
      <c r="E73" s="3"/>
      <c r="F73" s="4">
        <v>195</v>
      </c>
      <c r="G73" s="4">
        <v>4.0999999999999996</v>
      </c>
      <c r="H73" s="4">
        <v>3.72</v>
      </c>
      <c r="I73" s="4">
        <v>303.40000000000026</v>
      </c>
      <c r="J73" s="4">
        <v>253.95</v>
      </c>
      <c r="K73" s="4"/>
      <c r="L73" s="4">
        <v>0</v>
      </c>
      <c r="M73" s="5"/>
      <c r="N73" s="5"/>
      <c r="O73" s="3"/>
      <c r="P73" s="4">
        <f t="shared" si="2"/>
        <v>-0.37999999999999945</v>
      </c>
      <c r="Q73" s="6">
        <f t="shared" si="3"/>
        <v>0.90731707317073185</v>
      </c>
      <c r="R73" s="3" t="s">
        <v>28</v>
      </c>
    </row>
    <row r="74" spans="1:18" hidden="1">
      <c r="A74" s="2">
        <v>46188</v>
      </c>
      <c r="B74" s="3" t="s">
        <v>18</v>
      </c>
      <c r="C74" s="3" t="s">
        <v>19</v>
      </c>
      <c r="D74" s="3"/>
      <c r="E74" s="3"/>
      <c r="F74" s="4">
        <v>1240</v>
      </c>
      <c r="G74" s="4">
        <v>19.96</v>
      </c>
      <c r="H74" s="4">
        <v>21.3</v>
      </c>
      <c r="I74" s="4">
        <v>1808.4000000000005</v>
      </c>
      <c r="J74" s="4">
        <v>1345.0500000000002</v>
      </c>
      <c r="K74" s="4">
        <v>13</v>
      </c>
      <c r="L74" s="4">
        <v>0</v>
      </c>
      <c r="M74" s="5"/>
      <c r="N74" s="5"/>
      <c r="O74" s="3"/>
      <c r="P74" s="4">
        <f t="shared" si="2"/>
        <v>1.3399999999999999</v>
      </c>
      <c r="Q74" s="6">
        <f t="shared" si="3"/>
        <v>1.0671342685370742</v>
      </c>
      <c r="R74" s="3" t="s">
        <v>29</v>
      </c>
    </row>
    <row r="75" spans="1:18">
      <c r="A75" s="2">
        <v>46188</v>
      </c>
      <c r="B75" s="3" t="s">
        <v>18</v>
      </c>
      <c r="C75" s="3" t="s">
        <v>3</v>
      </c>
      <c r="D75" s="3">
        <v>1</v>
      </c>
      <c r="E75" s="3"/>
      <c r="F75" s="4">
        <v>110</v>
      </c>
      <c r="G75" s="4">
        <v>1.93</v>
      </c>
      <c r="H75" s="4">
        <v>1.54</v>
      </c>
      <c r="I75" s="4">
        <v>147.9500000000001</v>
      </c>
      <c r="J75" s="4">
        <v>106.85</v>
      </c>
      <c r="K75" s="4"/>
      <c r="L75" s="4">
        <v>0</v>
      </c>
      <c r="M75" s="5"/>
      <c r="N75" s="5"/>
      <c r="O75" s="3"/>
      <c r="P75" s="4">
        <f t="shared" si="2"/>
        <v>-0.3899999999999999</v>
      </c>
      <c r="Q75" s="6">
        <f t="shared" si="3"/>
        <v>0.79792746113989643</v>
      </c>
      <c r="R75" s="3" t="s">
        <v>29</v>
      </c>
    </row>
    <row r="76" spans="1:18">
      <c r="A76" s="2">
        <v>46188</v>
      </c>
      <c r="B76" s="3" t="s">
        <v>18</v>
      </c>
      <c r="C76" s="3" t="s">
        <v>3</v>
      </c>
      <c r="D76" s="3">
        <v>2</v>
      </c>
      <c r="E76" s="3"/>
      <c r="F76" s="4">
        <v>110</v>
      </c>
      <c r="G76" s="4">
        <v>1.93</v>
      </c>
      <c r="H76" s="4">
        <v>1.56</v>
      </c>
      <c r="I76" s="4">
        <v>147.9500000000001</v>
      </c>
      <c r="J76" s="4">
        <v>110.91</v>
      </c>
      <c r="K76" s="4"/>
      <c r="L76" s="4">
        <v>0</v>
      </c>
      <c r="M76" s="5"/>
      <c r="N76" s="5"/>
      <c r="O76" s="3"/>
      <c r="P76" s="4">
        <f t="shared" si="2"/>
        <v>-0.36999999999999988</v>
      </c>
      <c r="Q76" s="6">
        <f t="shared" si="3"/>
        <v>0.8082901554404146</v>
      </c>
      <c r="R76" s="3" t="s">
        <v>29</v>
      </c>
    </row>
    <row r="77" spans="1:18">
      <c r="A77" s="2">
        <v>46188</v>
      </c>
      <c r="B77" s="3" t="s">
        <v>18</v>
      </c>
      <c r="C77" s="3" t="s">
        <v>3</v>
      </c>
      <c r="D77" s="3">
        <v>3</v>
      </c>
      <c r="E77" s="3"/>
      <c r="F77" s="4">
        <v>210</v>
      </c>
      <c r="G77" s="4">
        <v>3.9</v>
      </c>
      <c r="H77" s="4">
        <v>3.5</v>
      </c>
      <c r="I77" s="4">
        <v>299.49999999999977</v>
      </c>
      <c r="J77" s="4">
        <v>240.23</v>
      </c>
      <c r="K77" s="4"/>
      <c r="L77" s="4">
        <v>0</v>
      </c>
      <c r="M77" s="5"/>
      <c r="N77" s="5"/>
      <c r="O77" s="3"/>
      <c r="P77" s="4">
        <f t="shared" si="2"/>
        <v>-0.39999999999999991</v>
      </c>
      <c r="Q77" s="6">
        <f t="shared" si="3"/>
        <v>0.89743589743589747</v>
      </c>
      <c r="R77" s="3" t="s">
        <v>29</v>
      </c>
    </row>
    <row r="78" spans="1:18">
      <c r="A78" s="2">
        <v>46188</v>
      </c>
      <c r="B78" s="3" t="s">
        <v>18</v>
      </c>
      <c r="C78" s="3" t="s">
        <v>3</v>
      </c>
      <c r="D78" s="3">
        <v>4</v>
      </c>
      <c r="E78" s="3"/>
      <c r="F78" s="4">
        <v>210</v>
      </c>
      <c r="G78" s="4">
        <v>0</v>
      </c>
      <c r="H78" s="4">
        <v>3.38</v>
      </c>
      <c r="I78" s="4">
        <v>294</v>
      </c>
      <c r="J78" s="4">
        <v>96.64</v>
      </c>
      <c r="K78" s="4"/>
      <c r="L78" s="4">
        <v>0</v>
      </c>
      <c r="M78" s="5"/>
      <c r="N78" s="5"/>
      <c r="O78" s="3"/>
      <c r="P78" s="4">
        <f t="shared" si="2"/>
        <v>3.38</v>
      </c>
      <c r="Q78" s="6" t="str">
        <f t="shared" si="3"/>
        <v/>
      </c>
      <c r="R78" s="3" t="s">
        <v>29</v>
      </c>
    </row>
    <row r="79" spans="1:18">
      <c r="A79" s="2">
        <v>46188</v>
      </c>
      <c r="B79" s="3" t="s">
        <v>18</v>
      </c>
      <c r="C79" s="3" t="s">
        <v>3</v>
      </c>
      <c r="D79" s="3">
        <v>5</v>
      </c>
      <c r="E79" s="3"/>
      <c r="F79" s="4">
        <v>210</v>
      </c>
      <c r="G79" s="4">
        <v>4</v>
      </c>
      <c r="H79" s="4">
        <v>3.75</v>
      </c>
      <c r="I79" s="4">
        <v>302</v>
      </c>
      <c r="J79" s="4">
        <v>233.34</v>
      </c>
      <c r="K79" s="4"/>
      <c r="L79" s="4">
        <v>0</v>
      </c>
      <c r="M79" s="5"/>
      <c r="N79" s="5"/>
      <c r="O79" s="3"/>
      <c r="P79" s="4">
        <f t="shared" si="2"/>
        <v>-0.25</v>
      </c>
      <c r="Q79" s="6">
        <f t="shared" si="3"/>
        <v>0.9375</v>
      </c>
      <c r="R79" s="3" t="s">
        <v>29</v>
      </c>
    </row>
    <row r="80" spans="1:18">
      <c r="A80" s="2">
        <v>46188</v>
      </c>
      <c r="B80" s="3" t="s">
        <v>18</v>
      </c>
      <c r="C80" s="3" t="s">
        <v>3</v>
      </c>
      <c r="D80" s="3">
        <v>6</v>
      </c>
      <c r="E80" s="3"/>
      <c r="F80" s="4">
        <v>195</v>
      </c>
      <c r="G80" s="4">
        <v>4.0999999999999996</v>
      </c>
      <c r="H80" s="4">
        <v>3.85</v>
      </c>
      <c r="I80" s="4">
        <v>309.50000000000028</v>
      </c>
      <c r="J80" s="4">
        <v>299.41000000000003</v>
      </c>
      <c r="K80" s="4"/>
      <c r="L80" s="4">
        <v>0</v>
      </c>
      <c r="M80" s="5"/>
      <c r="N80" s="5"/>
      <c r="O80" s="3"/>
      <c r="P80" s="4">
        <f t="shared" si="2"/>
        <v>-0.24999999999999956</v>
      </c>
      <c r="Q80" s="6">
        <f t="shared" si="3"/>
        <v>0.9390243902439025</v>
      </c>
      <c r="R80" s="3" t="s">
        <v>29</v>
      </c>
    </row>
    <row r="81" spans="1:18">
      <c r="A81" s="2">
        <v>46188</v>
      </c>
      <c r="B81" s="3" t="s">
        <v>18</v>
      </c>
      <c r="C81" s="3" t="s">
        <v>3</v>
      </c>
      <c r="D81" s="3">
        <v>7</v>
      </c>
      <c r="E81" s="3"/>
      <c r="F81" s="4">
        <v>195</v>
      </c>
      <c r="G81" s="4">
        <v>4.0999999999999996</v>
      </c>
      <c r="H81" s="4">
        <v>3.72</v>
      </c>
      <c r="I81" s="4">
        <v>307.50000000000028</v>
      </c>
      <c r="J81" s="4">
        <v>257.67</v>
      </c>
      <c r="K81" s="4"/>
      <c r="L81" s="4">
        <v>0</v>
      </c>
      <c r="M81" s="5"/>
      <c r="N81" s="5"/>
      <c r="O81" s="3"/>
      <c r="P81" s="4">
        <f t="shared" si="2"/>
        <v>-0.37999999999999945</v>
      </c>
      <c r="Q81" s="6">
        <f t="shared" si="3"/>
        <v>0.90731707317073185</v>
      </c>
      <c r="R81" s="3" t="s">
        <v>29</v>
      </c>
    </row>
    <row r="82" spans="1:18" hidden="1">
      <c r="A82" s="2">
        <v>46189</v>
      </c>
      <c r="B82" s="3" t="s">
        <v>18</v>
      </c>
      <c r="C82" s="3" t="s">
        <v>19</v>
      </c>
      <c r="D82" s="3"/>
      <c r="E82" s="3"/>
      <c r="F82" s="4">
        <v>1240</v>
      </c>
      <c r="G82" s="4">
        <v>19.96</v>
      </c>
      <c r="H82" s="4">
        <v>22.490000000000002</v>
      </c>
      <c r="I82" s="4">
        <v>1828.3600000000006</v>
      </c>
      <c r="J82" s="4">
        <v>1367.5400000000002</v>
      </c>
      <c r="K82" s="4">
        <v>13</v>
      </c>
      <c r="L82" s="4">
        <v>0</v>
      </c>
      <c r="M82" s="5"/>
      <c r="N82" s="5"/>
      <c r="O82" s="3"/>
      <c r="P82" s="4">
        <f t="shared" si="2"/>
        <v>2.5300000000000011</v>
      </c>
      <c r="Q82" s="6">
        <f t="shared" si="3"/>
        <v>1.1267535070140282</v>
      </c>
      <c r="R82" s="3" t="s">
        <v>30</v>
      </c>
    </row>
    <row r="83" spans="1:18">
      <c r="A83" s="2">
        <v>46189</v>
      </c>
      <c r="B83" s="3" t="s">
        <v>18</v>
      </c>
      <c r="C83" s="3" t="s">
        <v>3</v>
      </c>
      <c r="D83" s="3">
        <v>1</v>
      </c>
      <c r="E83" s="3"/>
      <c r="F83" s="4">
        <v>110</v>
      </c>
      <c r="G83" s="4">
        <v>1.93</v>
      </c>
      <c r="H83" s="4">
        <v>1.68</v>
      </c>
      <c r="I83" s="4">
        <v>149.88000000000011</v>
      </c>
      <c r="J83" s="4">
        <v>108.53</v>
      </c>
      <c r="K83" s="4"/>
      <c r="L83" s="4">
        <v>0</v>
      </c>
      <c r="M83" s="5"/>
      <c r="N83" s="5"/>
      <c r="O83" s="3"/>
      <c r="P83" s="4">
        <f t="shared" si="2"/>
        <v>-0.25</v>
      </c>
      <c r="Q83" s="6">
        <f t="shared" si="3"/>
        <v>0.8704663212435233</v>
      </c>
      <c r="R83" s="3" t="s">
        <v>30</v>
      </c>
    </row>
    <row r="84" spans="1:18">
      <c r="A84" s="2">
        <v>46189</v>
      </c>
      <c r="B84" s="3" t="s">
        <v>18</v>
      </c>
      <c r="C84" s="3" t="s">
        <v>3</v>
      </c>
      <c r="D84" s="3">
        <v>2</v>
      </c>
      <c r="E84" s="3"/>
      <c r="F84" s="4">
        <v>110</v>
      </c>
      <c r="G84" s="4">
        <v>1.93</v>
      </c>
      <c r="H84" s="4">
        <v>1.73</v>
      </c>
      <c r="I84" s="4">
        <v>149.88000000000011</v>
      </c>
      <c r="J84" s="4">
        <v>112.64</v>
      </c>
      <c r="K84" s="4"/>
      <c r="L84" s="4">
        <v>0</v>
      </c>
      <c r="M84" s="5"/>
      <c r="N84" s="5"/>
      <c r="O84" s="3"/>
      <c r="P84" s="4">
        <f t="shared" si="2"/>
        <v>-0.19999999999999996</v>
      </c>
      <c r="Q84" s="6">
        <f t="shared" si="3"/>
        <v>0.89637305699481862</v>
      </c>
      <c r="R84" s="3" t="s">
        <v>30</v>
      </c>
    </row>
    <row r="85" spans="1:18">
      <c r="A85" s="2">
        <v>46189</v>
      </c>
      <c r="B85" s="3" t="s">
        <v>18</v>
      </c>
      <c r="C85" s="3" t="s">
        <v>3</v>
      </c>
      <c r="D85" s="3">
        <v>3</v>
      </c>
      <c r="E85" s="3"/>
      <c r="F85" s="4">
        <v>210</v>
      </c>
      <c r="G85" s="4">
        <v>3.9</v>
      </c>
      <c r="H85" s="4">
        <v>3.79</v>
      </c>
      <c r="I85" s="4">
        <v>303.39999999999975</v>
      </c>
      <c r="J85" s="4">
        <v>244.02</v>
      </c>
      <c r="K85" s="4"/>
      <c r="L85" s="4">
        <v>0</v>
      </c>
      <c r="M85" s="5"/>
      <c r="N85" s="5"/>
      <c r="O85" s="3"/>
      <c r="P85" s="4">
        <f t="shared" si="2"/>
        <v>-0.10999999999999988</v>
      </c>
      <c r="Q85" s="6">
        <f t="shared" si="3"/>
        <v>0.97179487179487178</v>
      </c>
      <c r="R85" s="3" t="s">
        <v>30</v>
      </c>
    </row>
    <row r="86" spans="1:18">
      <c r="A86" s="2">
        <v>46189</v>
      </c>
      <c r="B86" s="3" t="s">
        <v>18</v>
      </c>
      <c r="C86" s="3" t="s">
        <v>3</v>
      </c>
      <c r="D86" s="3">
        <v>4</v>
      </c>
      <c r="E86" s="3"/>
      <c r="F86" s="4">
        <v>210</v>
      </c>
      <c r="G86" s="4">
        <v>0</v>
      </c>
      <c r="H86" s="4">
        <v>3.38</v>
      </c>
      <c r="I86" s="4">
        <v>294</v>
      </c>
      <c r="J86" s="4">
        <v>100.02</v>
      </c>
      <c r="K86" s="4"/>
      <c r="L86" s="4">
        <v>0</v>
      </c>
      <c r="M86" s="5"/>
      <c r="N86" s="5"/>
      <c r="O86" s="3"/>
      <c r="P86" s="4">
        <f t="shared" si="2"/>
        <v>3.38</v>
      </c>
      <c r="Q86" s="6" t="str">
        <f t="shared" si="3"/>
        <v/>
      </c>
      <c r="R86" s="3" t="s">
        <v>30</v>
      </c>
    </row>
    <row r="87" spans="1:18">
      <c r="A87" s="2">
        <v>46189</v>
      </c>
      <c r="B87" s="3" t="s">
        <v>18</v>
      </c>
      <c r="C87" s="3" t="s">
        <v>3</v>
      </c>
      <c r="D87" s="3">
        <v>5</v>
      </c>
      <c r="E87" s="3"/>
      <c r="F87" s="4">
        <v>210</v>
      </c>
      <c r="G87" s="4">
        <v>4</v>
      </c>
      <c r="H87" s="4">
        <v>4.03</v>
      </c>
      <c r="I87" s="4">
        <v>306</v>
      </c>
      <c r="J87" s="4">
        <v>237.37</v>
      </c>
      <c r="K87" s="4"/>
      <c r="L87" s="4">
        <v>0</v>
      </c>
      <c r="M87" s="5"/>
      <c r="N87" s="5"/>
      <c r="O87" s="3"/>
      <c r="P87" s="4">
        <f t="shared" si="2"/>
        <v>3.0000000000000249E-2</v>
      </c>
      <c r="Q87" s="6">
        <f t="shared" si="3"/>
        <v>1.0075000000000001</v>
      </c>
      <c r="R87" s="3" t="s">
        <v>30</v>
      </c>
    </row>
    <row r="88" spans="1:18">
      <c r="A88" s="2">
        <v>46189</v>
      </c>
      <c r="B88" s="3" t="s">
        <v>18</v>
      </c>
      <c r="C88" s="3" t="s">
        <v>3</v>
      </c>
      <c r="D88" s="3">
        <v>6</v>
      </c>
      <c r="E88" s="3"/>
      <c r="F88" s="4">
        <v>195</v>
      </c>
      <c r="G88" s="4">
        <v>4.0999999999999996</v>
      </c>
      <c r="H88" s="4">
        <v>3.85</v>
      </c>
      <c r="I88" s="4">
        <v>313.60000000000031</v>
      </c>
      <c r="J88" s="4">
        <v>303.26</v>
      </c>
      <c r="K88" s="4"/>
      <c r="L88" s="4">
        <v>0</v>
      </c>
      <c r="M88" s="5"/>
      <c r="N88" s="5"/>
      <c r="O88" s="3"/>
      <c r="P88" s="4">
        <f t="shared" si="2"/>
        <v>-0.24999999999999956</v>
      </c>
      <c r="Q88" s="6">
        <f t="shared" si="3"/>
        <v>0.9390243902439025</v>
      </c>
      <c r="R88" s="3" t="s">
        <v>30</v>
      </c>
    </row>
    <row r="89" spans="1:18">
      <c r="A89" s="2">
        <v>46189</v>
      </c>
      <c r="B89" s="3" t="s">
        <v>18</v>
      </c>
      <c r="C89" s="3" t="s">
        <v>3</v>
      </c>
      <c r="D89" s="3">
        <v>7</v>
      </c>
      <c r="E89" s="3"/>
      <c r="F89" s="4">
        <v>195</v>
      </c>
      <c r="G89" s="4">
        <v>4.0999999999999996</v>
      </c>
      <c r="H89" s="4">
        <v>4.03</v>
      </c>
      <c r="I89" s="4">
        <v>311.60000000000031</v>
      </c>
      <c r="J89" s="4">
        <v>261.7</v>
      </c>
      <c r="K89" s="4"/>
      <c r="L89" s="4">
        <v>0</v>
      </c>
      <c r="M89" s="5"/>
      <c r="N89" s="5"/>
      <c r="O89" s="3"/>
      <c r="P89" s="4">
        <f t="shared" si="2"/>
        <v>-6.9999999999999396E-2</v>
      </c>
      <c r="Q89" s="6">
        <f t="shared" si="3"/>
        <v>0.98292682926829278</v>
      </c>
      <c r="R89" s="3" t="s">
        <v>30</v>
      </c>
    </row>
    <row r="90" spans="1:18" hidden="1">
      <c r="A90" s="2">
        <v>46190</v>
      </c>
      <c r="B90" s="3" t="s">
        <v>18</v>
      </c>
      <c r="C90" s="3" t="s">
        <v>19</v>
      </c>
      <c r="D90" s="3"/>
      <c r="E90" s="3"/>
      <c r="F90" s="4">
        <v>1240</v>
      </c>
      <c r="G90" s="4">
        <v>19.96</v>
      </c>
      <c r="H90" s="4">
        <v>22.35</v>
      </c>
      <c r="I90" s="4">
        <v>1848.3200000000006</v>
      </c>
      <c r="J90" s="4">
        <v>1389.89</v>
      </c>
      <c r="K90" s="4">
        <v>13</v>
      </c>
      <c r="L90" s="4">
        <v>0</v>
      </c>
      <c r="M90" s="5"/>
      <c r="N90" s="5"/>
      <c r="O90" s="3"/>
      <c r="P90" s="4">
        <f t="shared" si="2"/>
        <v>2.3900000000000006</v>
      </c>
      <c r="Q90" s="6">
        <f t="shared" si="3"/>
        <v>1.1197394789579158</v>
      </c>
      <c r="R90" s="3" t="s">
        <v>31</v>
      </c>
    </row>
    <row r="91" spans="1:18">
      <c r="A91" s="2">
        <v>46190</v>
      </c>
      <c r="B91" s="3" t="s">
        <v>18</v>
      </c>
      <c r="C91" s="3" t="s">
        <v>3</v>
      </c>
      <c r="D91" s="3">
        <v>1</v>
      </c>
      <c r="E91" s="3"/>
      <c r="F91" s="4">
        <v>110</v>
      </c>
      <c r="G91" s="4">
        <v>1.93</v>
      </c>
      <c r="H91" s="4">
        <v>1.6</v>
      </c>
      <c r="I91" s="4">
        <v>151.81000000000012</v>
      </c>
      <c r="J91" s="4">
        <v>110.13</v>
      </c>
      <c r="K91" s="4"/>
      <c r="L91" s="4">
        <v>0</v>
      </c>
      <c r="M91" s="5"/>
      <c r="N91" s="5"/>
      <c r="O91" s="3"/>
      <c r="P91" s="4">
        <f t="shared" si="2"/>
        <v>-0.32999999999999985</v>
      </c>
      <c r="Q91" s="6">
        <f t="shared" si="3"/>
        <v>0.82901554404145084</v>
      </c>
      <c r="R91" s="3" t="s">
        <v>31</v>
      </c>
    </row>
    <row r="92" spans="1:18">
      <c r="A92" s="2">
        <v>46190</v>
      </c>
      <c r="B92" s="3" t="s">
        <v>18</v>
      </c>
      <c r="C92" s="3" t="s">
        <v>3</v>
      </c>
      <c r="D92" s="3">
        <v>2</v>
      </c>
      <c r="E92" s="3"/>
      <c r="F92" s="4">
        <v>110</v>
      </c>
      <c r="G92" s="4">
        <v>1.93</v>
      </c>
      <c r="H92" s="4">
        <v>1.66</v>
      </c>
      <c r="I92" s="4">
        <v>151.81000000000012</v>
      </c>
      <c r="J92" s="4">
        <v>114.3</v>
      </c>
      <c r="K92" s="4"/>
      <c r="L92" s="4">
        <v>0</v>
      </c>
      <c r="M92" s="5"/>
      <c r="N92" s="5"/>
      <c r="O92" s="3"/>
      <c r="P92" s="4">
        <f t="shared" si="2"/>
        <v>-0.27</v>
      </c>
      <c r="Q92" s="6">
        <f t="shared" si="3"/>
        <v>0.86010362694300513</v>
      </c>
      <c r="R92" s="3" t="s">
        <v>31</v>
      </c>
    </row>
    <row r="93" spans="1:18">
      <c r="A93" s="2">
        <v>46190</v>
      </c>
      <c r="B93" s="3" t="s">
        <v>18</v>
      </c>
      <c r="C93" s="3" t="s">
        <v>3</v>
      </c>
      <c r="D93" s="3">
        <v>3</v>
      </c>
      <c r="E93" s="3"/>
      <c r="F93" s="4">
        <v>210</v>
      </c>
      <c r="G93" s="4">
        <v>3.9</v>
      </c>
      <c r="H93" s="4">
        <v>3.72</v>
      </c>
      <c r="I93" s="4">
        <v>307.29999999999973</v>
      </c>
      <c r="J93" s="4">
        <v>247.74</v>
      </c>
      <c r="K93" s="4"/>
      <c r="L93" s="4">
        <v>0</v>
      </c>
      <c r="M93" s="5"/>
      <c r="N93" s="5"/>
      <c r="O93" s="3"/>
      <c r="P93" s="4">
        <f t="shared" si="2"/>
        <v>-0.17999999999999972</v>
      </c>
      <c r="Q93" s="6">
        <f t="shared" si="3"/>
        <v>0.9538461538461539</v>
      </c>
      <c r="R93" s="3" t="s">
        <v>31</v>
      </c>
    </row>
    <row r="94" spans="1:18">
      <c r="A94" s="2">
        <v>46190</v>
      </c>
      <c r="B94" s="3" t="s">
        <v>18</v>
      </c>
      <c r="C94" s="3" t="s">
        <v>3</v>
      </c>
      <c r="D94" s="3">
        <v>4</v>
      </c>
      <c r="E94" s="3"/>
      <c r="F94" s="4">
        <v>210</v>
      </c>
      <c r="G94" s="4">
        <v>0</v>
      </c>
      <c r="H94" s="4">
        <v>3.52</v>
      </c>
      <c r="I94" s="4">
        <v>294</v>
      </c>
      <c r="J94" s="4">
        <v>103.54</v>
      </c>
      <c r="K94" s="4"/>
      <c r="L94" s="4">
        <v>0</v>
      </c>
      <c r="M94" s="5"/>
      <c r="N94" s="5"/>
      <c r="O94" s="3"/>
      <c r="P94" s="4">
        <f t="shared" si="2"/>
        <v>3.52</v>
      </c>
      <c r="Q94" s="6" t="str">
        <f t="shared" si="3"/>
        <v/>
      </c>
      <c r="R94" s="3" t="s">
        <v>31</v>
      </c>
    </row>
    <row r="95" spans="1:18">
      <c r="A95" s="2">
        <v>46190</v>
      </c>
      <c r="B95" s="3" t="s">
        <v>18</v>
      </c>
      <c r="C95" s="3" t="s">
        <v>3</v>
      </c>
      <c r="D95" s="3">
        <v>5</v>
      </c>
      <c r="E95" s="3"/>
      <c r="F95" s="4">
        <v>210</v>
      </c>
      <c r="G95" s="4">
        <v>4</v>
      </c>
      <c r="H95" s="4">
        <v>4.04</v>
      </c>
      <c r="I95" s="4">
        <v>310</v>
      </c>
      <c r="J95" s="4">
        <v>241.41</v>
      </c>
      <c r="K95" s="4"/>
      <c r="L95" s="4">
        <v>0</v>
      </c>
      <c r="M95" s="5"/>
      <c r="N95" s="5"/>
      <c r="O95" s="3"/>
      <c r="P95" s="4">
        <f t="shared" si="2"/>
        <v>4.0000000000000036E-2</v>
      </c>
      <c r="Q95" s="6">
        <f t="shared" si="3"/>
        <v>1.01</v>
      </c>
      <c r="R95" s="3" t="s">
        <v>31</v>
      </c>
    </row>
    <row r="96" spans="1:18">
      <c r="A96" s="2">
        <v>46190</v>
      </c>
      <c r="B96" s="3" t="s">
        <v>18</v>
      </c>
      <c r="C96" s="3" t="s">
        <v>3</v>
      </c>
      <c r="D96" s="3">
        <v>6</v>
      </c>
      <c r="E96" s="3"/>
      <c r="F96" s="4">
        <v>195</v>
      </c>
      <c r="G96" s="4">
        <v>4.0999999999999996</v>
      </c>
      <c r="H96" s="4">
        <v>3.85</v>
      </c>
      <c r="I96" s="4">
        <v>317.70000000000033</v>
      </c>
      <c r="J96" s="4">
        <v>307.11</v>
      </c>
      <c r="K96" s="4"/>
      <c r="L96" s="4">
        <v>0</v>
      </c>
      <c r="M96" s="5"/>
      <c r="N96" s="5"/>
      <c r="O96" s="3"/>
      <c r="P96" s="4">
        <f t="shared" si="2"/>
        <v>-0.24999999999999956</v>
      </c>
      <c r="Q96" s="6">
        <f t="shared" si="3"/>
        <v>0.9390243902439025</v>
      </c>
      <c r="R96" s="3" t="s">
        <v>31</v>
      </c>
    </row>
    <row r="97" spans="1:18">
      <c r="A97" s="2">
        <v>46190</v>
      </c>
      <c r="B97" s="3" t="s">
        <v>18</v>
      </c>
      <c r="C97" s="3" t="s">
        <v>3</v>
      </c>
      <c r="D97" s="3">
        <v>7</v>
      </c>
      <c r="E97" s="3"/>
      <c r="F97" s="4">
        <v>195</v>
      </c>
      <c r="G97" s="4">
        <v>4.0999999999999996</v>
      </c>
      <c r="H97" s="4">
        <v>3.96</v>
      </c>
      <c r="I97" s="4">
        <v>315.70000000000033</v>
      </c>
      <c r="J97" s="4">
        <v>265.66000000000003</v>
      </c>
      <c r="K97" s="4"/>
      <c r="L97" s="4">
        <v>0</v>
      </c>
      <c r="M97" s="5"/>
      <c r="N97" s="5"/>
      <c r="O97" s="3"/>
      <c r="P97" s="4">
        <f t="shared" si="2"/>
        <v>-0.13999999999999968</v>
      </c>
      <c r="Q97" s="6">
        <f t="shared" si="3"/>
        <v>0.96585365853658545</v>
      </c>
      <c r="R97" s="3" t="s">
        <v>31</v>
      </c>
    </row>
    <row r="98" spans="1:18" hidden="1">
      <c r="A98" s="2">
        <v>46191</v>
      </c>
      <c r="B98" s="3" t="s">
        <v>18</v>
      </c>
      <c r="C98" s="3" t="s">
        <v>19</v>
      </c>
      <c r="D98" s="3"/>
      <c r="E98" s="3"/>
      <c r="F98" s="4">
        <v>1240</v>
      </c>
      <c r="G98" s="4">
        <v>19.96</v>
      </c>
      <c r="H98" s="4">
        <v>23.1</v>
      </c>
      <c r="I98" s="4">
        <v>1868.2800000000007</v>
      </c>
      <c r="J98" s="4">
        <v>1412.9900000000002</v>
      </c>
      <c r="K98" s="4">
        <v>13</v>
      </c>
      <c r="L98" s="4">
        <v>0</v>
      </c>
      <c r="M98" s="5"/>
      <c r="N98" s="5"/>
      <c r="O98" s="3"/>
      <c r="P98" s="4">
        <f t="shared" si="2"/>
        <v>3.1400000000000006</v>
      </c>
      <c r="Q98" s="6">
        <f t="shared" si="3"/>
        <v>1.157314629258517</v>
      </c>
      <c r="R98" s="3" t="s">
        <v>32</v>
      </c>
    </row>
    <row r="99" spans="1:18">
      <c r="A99" s="2">
        <v>46191</v>
      </c>
      <c r="B99" s="3" t="s">
        <v>18</v>
      </c>
      <c r="C99" s="3" t="s">
        <v>3</v>
      </c>
      <c r="D99" s="3">
        <v>1</v>
      </c>
      <c r="E99" s="3"/>
      <c r="F99" s="4">
        <v>110</v>
      </c>
      <c r="G99" s="4">
        <v>1.93</v>
      </c>
      <c r="H99" s="4">
        <v>1.61</v>
      </c>
      <c r="I99" s="4">
        <v>153.74000000000012</v>
      </c>
      <c r="J99" s="4">
        <v>111.74</v>
      </c>
      <c r="K99" s="4"/>
      <c r="L99" s="4">
        <v>0</v>
      </c>
      <c r="M99" s="5"/>
      <c r="N99" s="5"/>
      <c r="O99" s="3"/>
      <c r="P99" s="4">
        <f t="shared" si="2"/>
        <v>-0.31999999999999984</v>
      </c>
      <c r="Q99" s="6">
        <f t="shared" si="3"/>
        <v>0.83419689119170992</v>
      </c>
      <c r="R99" s="3" t="s">
        <v>32</v>
      </c>
    </row>
    <row r="100" spans="1:18">
      <c r="A100" s="2">
        <v>46191</v>
      </c>
      <c r="B100" s="3" t="s">
        <v>18</v>
      </c>
      <c r="C100" s="3" t="s">
        <v>3</v>
      </c>
      <c r="D100" s="3">
        <v>2</v>
      </c>
      <c r="E100" s="3"/>
      <c r="F100" s="4">
        <v>110</v>
      </c>
      <c r="G100" s="4">
        <v>1.93</v>
      </c>
      <c r="H100" s="4">
        <v>1.77</v>
      </c>
      <c r="I100" s="4">
        <v>153.74000000000012</v>
      </c>
      <c r="J100" s="4">
        <v>116.07</v>
      </c>
      <c r="K100" s="4"/>
      <c r="L100" s="4">
        <v>0</v>
      </c>
      <c r="M100" s="5"/>
      <c r="N100" s="5"/>
      <c r="O100" s="3"/>
      <c r="P100" s="4">
        <f t="shared" si="2"/>
        <v>-0.15999999999999992</v>
      </c>
      <c r="Q100" s="6">
        <f t="shared" si="3"/>
        <v>0.91709844559585496</v>
      </c>
      <c r="R100" s="3" t="s">
        <v>32</v>
      </c>
    </row>
    <row r="101" spans="1:18">
      <c r="A101" s="2">
        <v>46191</v>
      </c>
      <c r="B101" s="3" t="s">
        <v>18</v>
      </c>
      <c r="C101" s="3" t="s">
        <v>3</v>
      </c>
      <c r="D101" s="3">
        <v>3</v>
      </c>
      <c r="E101" s="3"/>
      <c r="F101" s="4">
        <v>210</v>
      </c>
      <c r="G101" s="4">
        <v>3.9</v>
      </c>
      <c r="H101" s="4">
        <v>3.89</v>
      </c>
      <c r="I101" s="4">
        <v>311.1999999999997</v>
      </c>
      <c r="J101" s="4">
        <v>251.63</v>
      </c>
      <c r="K101" s="4"/>
      <c r="L101" s="4">
        <v>0</v>
      </c>
      <c r="M101" s="5"/>
      <c r="N101" s="5"/>
      <c r="O101" s="3"/>
      <c r="P101" s="4">
        <f t="shared" si="2"/>
        <v>-9.9999999999997868E-3</v>
      </c>
      <c r="Q101" s="6">
        <f t="shared" si="3"/>
        <v>0.99743589743589745</v>
      </c>
      <c r="R101" s="3" t="s">
        <v>32</v>
      </c>
    </row>
    <row r="102" spans="1:18">
      <c r="A102" s="2">
        <v>46191</v>
      </c>
      <c r="B102" s="3" t="s">
        <v>18</v>
      </c>
      <c r="C102" s="3" t="s">
        <v>3</v>
      </c>
      <c r="D102" s="3">
        <v>4</v>
      </c>
      <c r="E102" s="3"/>
      <c r="F102" s="4">
        <v>210</v>
      </c>
      <c r="G102" s="4">
        <v>0</v>
      </c>
      <c r="H102" s="4">
        <v>3.62</v>
      </c>
      <c r="I102" s="4">
        <v>294</v>
      </c>
      <c r="J102" s="4">
        <v>107.16</v>
      </c>
      <c r="K102" s="4"/>
      <c r="L102" s="4">
        <v>0</v>
      </c>
      <c r="M102" s="5"/>
      <c r="N102" s="5"/>
      <c r="O102" s="3"/>
      <c r="P102" s="4">
        <f t="shared" si="2"/>
        <v>3.62</v>
      </c>
      <c r="Q102" s="6" t="str">
        <f t="shared" si="3"/>
        <v/>
      </c>
      <c r="R102" s="3" t="s">
        <v>32</v>
      </c>
    </row>
    <row r="103" spans="1:18">
      <c r="A103" s="2">
        <v>46191</v>
      </c>
      <c r="B103" s="3" t="s">
        <v>18</v>
      </c>
      <c r="C103" s="3" t="s">
        <v>3</v>
      </c>
      <c r="D103" s="3">
        <v>5</v>
      </c>
      <c r="E103" s="3"/>
      <c r="F103" s="4">
        <v>210</v>
      </c>
      <c r="G103" s="4">
        <v>4</v>
      </c>
      <c r="H103" s="4">
        <v>4.18</v>
      </c>
      <c r="I103" s="4">
        <v>314</v>
      </c>
      <c r="J103" s="4">
        <v>245.59</v>
      </c>
      <c r="K103" s="4"/>
      <c r="L103" s="4">
        <v>0</v>
      </c>
      <c r="M103" s="5"/>
      <c r="N103" s="5"/>
      <c r="O103" s="3"/>
      <c r="P103" s="4">
        <f t="shared" si="2"/>
        <v>0.17999999999999972</v>
      </c>
      <c r="Q103" s="6">
        <f t="shared" si="3"/>
        <v>1.0449999999999999</v>
      </c>
      <c r="R103" s="3" t="s">
        <v>32</v>
      </c>
    </row>
    <row r="104" spans="1:18">
      <c r="A104" s="2">
        <v>46191</v>
      </c>
      <c r="B104" s="3" t="s">
        <v>18</v>
      </c>
      <c r="C104" s="3" t="s">
        <v>3</v>
      </c>
      <c r="D104" s="3">
        <v>6</v>
      </c>
      <c r="E104" s="3"/>
      <c r="F104" s="4">
        <v>195</v>
      </c>
      <c r="G104" s="4">
        <v>4.0999999999999996</v>
      </c>
      <c r="H104" s="4">
        <v>3.84</v>
      </c>
      <c r="I104" s="4">
        <v>321.80000000000035</v>
      </c>
      <c r="J104" s="4">
        <v>310.95</v>
      </c>
      <c r="K104" s="4"/>
      <c r="L104" s="4">
        <v>0</v>
      </c>
      <c r="M104" s="5"/>
      <c r="N104" s="5"/>
      <c r="O104" s="3"/>
      <c r="P104" s="4">
        <f t="shared" si="2"/>
        <v>-0.25999999999999979</v>
      </c>
      <c r="Q104" s="6">
        <f t="shared" si="3"/>
        <v>0.93658536585365859</v>
      </c>
      <c r="R104" s="3" t="s">
        <v>32</v>
      </c>
    </row>
    <row r="105" spans="1:18">
      <c r="A105" s="2">
        <v>46191</v>
      </c>
      <c r="B105" s="3" t="s">
        <v>18</v>
      </c>
      <c r="C105" s="3" t="s">
        <v>3</v>
      </c>
      <c r="D105" s="3">
        <v>7</v>
      </c>
      <c r="E105" s="3"/>
      <c r="F105" s="4">
        <v>195</v>
      </c>
      <c r="G105" s="4">
        <v>4.0999999999999996</v>
      </c>
      <c r="H105" s="4">
        <v>4.1900000000000004</v>
      </c>
      <c r="I105" s="4">
        <v>319.80000000000035</v>
      </c>
      <c r="J105" s="4">
        <v>269.85000000000002</v>
      </c>
      <c r="K105" s="4"/>
      <c r="L105" s="4">
        <v>0</v>
      </c>
      <c r="M105" s="5"/>
      <c r="N105" s="5"/>
      <c r="O105" s="3"/>
      <c r="P105" s="4">
        <f t="shared" si="2"/>
        <v>9.0000000000000746E-2</v>
      </c>
      <c r="Q105" s="6">
        <f t="shared" si="3"/>
        <v>1.0219512195121954</v>
      </c>
      <c r="R105" s="3" t="s">
        <v>32</v>
      </c>
    </row>
    <row r="106" spans="1:18" hidden="1">
      <c r="A106" s="2">
        <v>46192</v>
      </c>
      <c r="B106" s="3" t="s">
        <v>18</v>
      </c>
      <c r="C106" s="3" t="s">
        <v>19</v>
      </c>
      <c r="D106" s="3"/>
      <c r="E106" s="3"/>
      <c r="F106" s="4">
        <v>1240</v>
      </c>
      <c r="G106" s="4">
        <v>19.96</v>
      </c>
      <c r="H106" s="4">
        <v>23.03</v>
      </c>
      <c r="I106" s="4">
        <v>1888.2400000000007</v>
      </c>
      <c r="J106" s="4">
        <v>1436.02</v>
      </c>
      <c r="K106" s="4">
        <v>13</v>
      </c>
      <c r="L106" s="4">
        <v>0</v>
      </c>
      <c r="M106" s="5"/>
      <c r="N106" s="5"/>
      <c r="O106" s="3"/>
      <c r="P106" s="4">
        <f t="shared" si="2"/>
        <v>3.0700000000000003</v>
      </c>
      <c r="Q106" s="6">
        <f t="shared" si="3"/>
        <v>1.1538076152304608</v>
      </c>
      <c r="R106" s="3" t="s">
        <v>33</v>
      </c>
    </row>
    <row r="107" spans="1:18">
      <c r="A107" s="2">
        <v>46192</v>
      </c>
      <c r="B107" s="3" t="s">
        <v>18</v>
      </c>
      <c r="C107" s="3" t="s">
        <v>3</v>
      </c>
      <c r="D107" s="3">
        <v>1</v>
      </c>
      <c r="E107" s="3"/>
      <c r="F107" s="4">
        <v>110</v>
      </c>
      <c r="G107" s="4">
        <v>1.93</v>
      </c>
      <c r="H107" s="4">
        <v>1.65</v>
      </c>
      <c r="I107" s="4">
        <v>155.67000000000013</v>
      </c>
      <c r="J107" s="4">
        <v>113.39</v>
      </c>
      <c r="K107" s="4"/>
      <c r="L107" s="4">
        <v>0</v>
      </c>
      <c r="M107" s="5"/>
      <c r="N107" s="5"/>
      <c r="O107" s="3"/>
      <c r="P107" s="4">
        <f t="shared" si="2"/>
        <v>-0.28000000000000003</v>
      </c>
      <c r="Q107" s="6">
        <f t="shared" si="3"/>
        <v>0.85492227979274604</v>
      </c>
      <c r="R107" s="3" t="s">
        <v>33</v>
      </c>
    </row>
    <row r="108" spans="1:18">
      <c r="A108" s="2">
        <v>46192</v>
      </c>
      <c r="B108" s="3" t="s">
        <v>18</v>
      </c>
      <c r="C108" s="3" t="s">
        <v>3</v>
      </c>
      <c r="D108" s="3">
        <v>2</v>
      </c>
      <c r="E108" s="3"/>
      <c r="F108" s="4">
        <v>110</v>
      </c>
      <c r="G108" s="4">
        <v>1.93</v>
      </c>
      <c r="H108" s="4">
        <v>1.76</v>
      </c>
      <c r="I108" s="4">
        <v>155.67000000000013</v>
      </c>
      <c r="J108" s="4">
        <v>117.83</v>
      </c>
      <c r="K108" s="4"/>
      <c r="L108" s="4">
        <v>0</v>
      </c>
      <c r="M108" s="5"/>
      <c r="N108" s="5"/>
      <c r="O108" s="3"/>
      <c r="P108" s="4">
        <f t="shared" si="2"/>
        <v>-0.16999999999999993</v>
      </c>
      <c r="Q108" s="6">
        <f t="shared" si="3"/>
        <v>0.91191709844559588</v>
      </c>
      <c r="R108" s="3" t="s">
        <v>33</v>
      </c>
    </row>
    <row r="109" spans="1:18">
      <c r="A109" s="2">
        <v>46192</v>
      </c>
      <c r="B109" s="3" t="s">
        <v>18</v>
      </c>
      <c r="C109" s="3" t="s">
        <v>3</v>
      </c>
      <c r="D109" s="3">
        <v>3</v>
      </c>
      <c r="E109" s="3"/>
      <c r="F109" s="4">
        <v>210</v>
      </c>
      <c r="G109" s="4">
        <v>3.9</v>
      </c>
      <c r="H109" s="4">
        <v>3.88</v>
      </c>
      <c r="I109" s="4">
        <v>315.09999999999968</v>
      </c>
      <c r="J109" s="4">
        <v>255.51</v>
      </c>
      <c r="K109" s="4"/>
      <c r="L109" s="4">
        <v>0</v>
      </c>
      <c r="M109" s="5"/>
      <c r="N109" s="5"/>
      <c r="O109" s="3"/>
      <c r="P109" s="4">
        <f t="shared" si="2"/>
        <v>-2.0000000000000018E-2</v>
      </c>
      <c r="Q109" s="6">
        <f t="shared" si="3"/>
        <v>0.99487179487179489</v>
      </c>
      <c r="R109" s="3" t="s">
        <v>33</v>
      </c>
    </row>
    <row r="110" spans="1:18">
      <c r="A110" s="2">
        <v>46192</v>
      </c>
      <c r="B110" s="3" t="s">
        <v>18</v>
      </c>
      <c r="C110" s="3" t="s">
        <v>3</v>
      </c>
      <c r="D110" s="3">
        <v>4</v>
      </c>
      <c r="E110" s="3"/>
      <c r="F110" s="4">
        <v>210</v>
      </c>
      <c r="G110" s="4">
        <v>0</v>
      </c>
      <c r="H110" s="4">
        <v>3.57</v>
      </c>
      <c r="I110" s="4">
        <v>294</v>
      </c>
      <c r="J110" s="4">
        <v>110.73</v>
      </c>
      <c r="K110" s="4"/>
      <c r="L110" s="4">
        <v>0</v>
      </c>
      <c r="M110" s="5"/>
      <c r="N110" s="5"/>
      <c r="O110" s="3"/>
      <c r="P110" s="4">
        <f t="shared" si="2"/>
        <v>3.57</v>
      </c>
      <c r="Q110" s="6" t="str">
        <f t="shared" si="3"/>
        <v/>
      </c>
      <c r="R110" s="3" t="s">
        <v>33</v>
      </c>
    </row>
    <row r="111" spans="1:18">
      <c r="A111" s="2">
        <v>46192</v>
      </c>
      <c r="B111" s="3" t="s">
        <v>18</v>
      </c>
      <c r="C111" s="3" t="s">
        <v>3</v>
      </c>
      <c r="D111" s="3">
        <v>5</v>
      </c>
      <c r="E111" s="3"/>
      <c r="F111" s="4">
        <v>210</v>
      </c>
      <c r="G111" s="4">
        <v>4</v>
      </c>
      <c r="H111" s="4">
        <v>4.1100000000000003</v>
      </c>
      <c r="I111" s="4">
        <v>318</v>
      </c>
      <c r="J111" s="4">
        <v>249.7</v>
      </c>
      <c r="K111" s="4"/>
      <c r="L111" s="4">
        <v>0</v>
      </c>
      <c r="M111" s="5"/>
      <c r="N111" s="5"/>
      <c r="O111" s="3"/>
      <c r="P111" s="4">
        <f t="shared" si="2"/>
        <v>0.11000000000000032</v>
      </c>
      <c r="Q111" s="6">
        <f t="shared" si="3"/>
        <v>1.0275000000000001</v>
      </c>
      <c r="R111" s="3" t="s">
        <v>33</v>
      </c>
    </row>
    <row r="112" spans="1:18">
      <c r="A112" s="2">
        <v>46192</v>
      </c>
      <c r="B112" s="3" t="s">
        <v>18</v>
      </c>
      <c r="C112" s="3" t="s">
        <v>3</v>
      </c>
      <c r="D112" s="3">
        <v>6</v>
      </c>
      <c r="E112" s="3"/>
      <c r="F112" s="4">
        <v>195</v>
      </c>
      <c r="G112" s="4">
        <v>4.0999999999999996</v>
      </c>
      <c r="H112" s="4">
        <v>3.85</v>
      </c>
      <c r="I112" s="4">
        <v>325.90000000000038</v>
      </c>
      <c r="J112" s="4">
        <v>314.8</v>
      </c>
      <c r="K112" s="4"/>
      <c r="L112" s="4">
        <v>0</v>
      </c>
      <c r="M112" s="5"/>
      <c r="N112" s="5"/>
      <c r="O112" s="3"/>
      <c r="P112" s="4">
        <f t="shared" si="2"/>
        <v>-0.24999999999999956</v>
      </c>
      <c r="Q112" s="6">
        <f t="shared" si="3"/>
        <v>0.9390243902439025</v>
      </c>
      <c r="R112" s="3" t="s">
        <v>33</v>
      </c>
    </row>
    <row r="113" spans="1:18">
      <c r="A113" s="2">
        <v>46192</v>
      </c>
      <c r="B113" s="3" t="s">
        <v>18</v>
      </c>
      <c r="C113" s="3" t="s">
        <v>3</v>
      </c>
      <c r="D113" s="3">
        <v>7</v>
      </c>
      <c r="E113" s="3"/>
      <c r="F113" s="4">
        <v>195</v>
      </c>
      <c r="G113" s="4">
        <v>4.0999999999999996</v>
      </c>
      <c r="H113" s="4">
        <v>4.21</v>
      </c>
      <c r="I113" s="4">
        <v>323.90000000000038</v>
      </c>
      <c r="J113" s="4">
        <v>274.06</v>
      </c>
      <c r="K113" s="4"/>
      <c r="L113" s="4">
        <v>0</v>
      </c>
      <c r="M113" s="5"/>
      <c r="N113" s="5"/>
      <c r="O113" s="3"/>
      <c r="P113" s="4">
        <f t="shared" si="2"/>
        <v>0.11000000000000032</v>
      </c>
      <c r="Q113" s="6">
        <f t="shared" si="3"/>
        <v>1.026829268292683</v>
      </c>
      <c r="R113" s="3" t="s">
        <v>33</v>
      </c>
    </row>
    <row r="114" spans="1:18" hidden="1">
      <c r="A114" s="2">
        <v>46193</v>
      </c>
      <c r="B114" s="3" t="s">
        <v>18</v>
      </c>
      <c r="C114" s="3" t="s">
        <v>19</v>
      </c>
      <c r="D114" s="3"/>
      <c r="E114" s="3"/>
      <c r="F114" s="4">
        <v>1240</v>
      </c>
      <c r="G114" s="4">
        <v>19.96</v>
      </c>
      <c r="H114" s="4">
        <v>23.610000000000003</v>
      </c>
      <c r="I114" s="4">
        <v>1908.2000000000007</v>
      </c>
      <c r="J114" s="4">
        <v>1459.63</v>
      </c>
      <c r="K114" s="4">
        <v>12</v>
      </c>
      <c r="L114" s="4">
        <v>0</v>
      </c>
      <c r="M114" s="5"/>
      <c r="N114" s="5"/>
      <c r="O114" s="3"/>
      <c r="P114" s="4">
        <f t="shared" si="2"/>
        <v>3.6500000000000021</v>
      </c>
      <c r="Q114" s="6">
        <f t="shared" si="3"/>
        <v>1.1828657314629258</v>
      </c>
      <c r="R114" s="3" t="s">
        <v>34</v>
      </c>
    </row>
    <row r="115" spans="1:18">
      <c r="A115" s="2">
        <v>46193</v>
      </c>
      <c r="B115" s="3" t="s">
        <v>18</v>
      </c>
      <c r="C115" s="3" t="s">
        <v>3</v>
      </c>
      <c r="D115" s="3">
        <v>1</v>
      </c>
      <c r="E115" s="3"/>
      <c r="F115" s="4">
        <v>110</v>
      </c>
      <c r="G115" s="4">
        <v>1.93</v>
      </c>
      <c r="H115" s="4">
        <v>1.76</v>
      </c>
      <c r="I115" s="4">
        <v>157.60000000000014</v>
      </c>
      <c r="J115" s="4">
        <v>115.15</v>
      </c>
      <c r="K115" s="4"/>
      <c r="L115" s="4">
        <v>0</v>
      </c>
      <c r="M115" s="5"/>
      <c r="N115" s="5"/>
      <c r="O115" s="3"/>
      <c r="P115" s="4">
        <f t="shared" si="2"/>
        <v>-0.16999999999999993</v>
      </c>
      <c r="Q115" s="6">
        <f t="shared" si="3"/>
        <v>0.91191709844559588</v>
      </c>
      <c r="R115" s="3" t="s">
        <v>34</v>
      </c>
    </row>
    <row r="116" spans="1:18">
      <c r="A116" s="2">
        <v>46193</v>
      </c>
      <c r="B116" s="3" t="s">
        <v>18</v>
      </c>
      <c r="C116" s="3" t="s">
        <v>3</v>
      </c>
      <c r="D116" s="3">
        <v>2</v>
      </c>
      <c r="E116" s="3"/>
      <c r="F116" s="4">
        <v>110</v>
      </c>
      <c r="G116" s="4">
        <v>1.93</v>
      </c>
      <c r="H116" s="4">
        <v>1.87</v>
      </c>
      <c r="I116" s="4">
        <v>157.60000000000014</v>
      </c>
      <c r="J116" s="4">
        <v>119.7</v>
      </c>
      <c r="K116" s="4"/>
      <c r="L116" s="4">
        <v>0</v>
      </c>
      <c r="M116" s="5"/>
      <c r="N116" s="5"/>
      <c r="O116" s="3"/>
      <c r="P116" s="4">
        <f t="shared" si="2"/>
        <v>-5.9999999999999831E-2</v>
      </c>
      <c r="Q116" s="6">
        <f t="shared" si="3"/>
        <v>0.96891191709844571</v>
      </c>
      <c r="R116" s="3" t="s">
        <v>34</v>
      </c>
    </row>
    <row r="117" spans="1:18">
      <c r="A117" s="2">
        <v>46193</v>
      </c>
      <c r="B117" s="3" t="s">
        <v>18</v>
      </c>
      <c r="C117" s="3" t="s">
        <v>3</v>
      </c>
      <c r="D117" s="3">
        <v>3</v>
      </c>
      <c r="E117" s="3"/>
      <c r="F117" s="4">
        <v>210</v>
      </c>
      <c r="G117" s="4">
        <v>3.9</v>
      </c>
      <c r="H117" s="4">
        <v>4.03</v>
      </c>
      <c r="I117" s="4">
        <v>318.99999999999966</v>
      </c>
      <c r="J117" s="4">
        <v>259.54000000000002</v>
      </c>
      <c r="K117" s="4"/>
      <c r="L117" s="4">
        <v>0</v>
      </c>
      <c r="M117" s="5"/>
      <c r="N117" s="5"/>
      <c r="O117" s="3"/>
      <c r="P117" s="4">
        <f t="shared" si="2"/>
        <v>0.13000000000000034</v>
      </c>
      <c r="Q117" s="6">
        <f t="shared" si="3"/>
        <v>1.0333333333333334</v>
      </c>
      <c r="R117" s="3" t="s">
        <v>34</v>
      </c>
    </row>
    <row r="118" spans="1:18">
      <c r="A118" s="2">
        <v>46193</v>
      </c>
      <c r="B118" s="3" t="s">
        <v>18</v>
      </c>
      <c r="C118" s="3" t="s">
        <v>3</v>
      </c>
      <c r="D118" s="3">
        <v>4</v>
      </c>
      <c r="E118" s="3"/>
      <c r="F118" s="4">
        <v>210</v>
      </c>
      <c r="G118" s="4">
        <v>0</v>
      </c>
      <c r="H118" s="4">
        <v>3.65</v>
      </c>
      <c r="I118" s="4">
        <v>294</v>
      </c>
      <c r="J118" s="4">
        <v>114.38</v>
      </c>
      <c r="K118" s="4"/>
      <c r="L118" s="4">
        <v>0</v>
      </c>
      <c r="M118" s="5"/>
      <c r="N118" s="5"/>
      <c r="O118" s="3"/>
      <c r="P118" s="4">
        <f t="shared" si="2"/>
        <v>3.65</v>
      </c>
      <c r="Q118" s="6" t="str">
        <f t="shared" si="3"/>
        <v/>
      </c>
      <c r="R118" s="3" t="s">
        <v>34</v>
      </c>
    </row>
    <row r="119" spans="1:18">
      <c r="A119" s="2">
        <v>46193</v>
      </c>
      <c r="B119" s="3" t="s">
        <v>18</v>
      </c>
      <c r="C119" s="3" t="s">
        <v>3</v>
      </c>
      <c r="D119" s="3">
        <v>5</v>
      </c>
      <c r="E119" s="3"/>
      <c r="F119" s="4">
        <v>210</v>
      </c>
      <c r="G119" s="4">
        <v>4</v>
      </c>
      <c r="H119" s="4">
        <v>4.24</v>
      </c>
      <c r="I119" s="4">
        <v>322</v>
      </c>
      <c r="J119" s="4">
        <v>253.94</v>
      </c>
      <c r="K119" s="4"/>
      <c r="L119" s="4">
        <v>0</v>
      </c>
      <c r="M119" s="5"/>
      <c r="N119" s="5"/>
      <c r="O119" s="3"/>
      <c r="P119" s="4">
        <f t="shared" si="2"/>
        <v>0.24000000000000021</v>
      </c>
      <c r="Q119" s="6">
        <f t="shared" si="3"/>
        <v>1.06</v>
      </c>
      <c r="R119" s="3" t="s">
        <v>34</v>
      </c>
    </row>
    <row r="120" spans="1:18">
      <c r="A120" s="2">
        <v>46193</v>
      </c>
      <c r="B120" s="3" t="s">
        <v>18</v>
      </c>
      <c r="C120" s="3" t="s">
        <v>3</v>
      </c>
      <c r="D120" s="3">
        <v>6</v>
      </c>
      <c r="E120" s="3"/>
      <c r="F120" s="4">
        <v>195</v>
      </c>
      <c r="G120" s="4">
        <v>4.0999999999999996</v>
      </c>
      <c r="H120" s="4">
        <v>3.85</v>
      </c>
      <c r="I120" s="4">
        <v>330.0000000000004</v>
      </c>
      <c r="J120" s="4">
        <v>318.64999999999998</v>
      </c>
      <c r="K120" s="4"/>
      <c r="L120" s="4">
        <v>0</v>
      </c>
      <c r="M120" s="5"/>
      <c r="N120" s="5"/>
      <c r="O120" s="3"/>
      <c r="P120" s="4">
        <f t="shared" si="2"/>
        <v>-0.24999999999999956</v>
      </c>
      <c r="Q120" s="6">
        <f t="shared" si="3"/>
        <v>0.9390243902439025</v>
      </c>
      <c r="R120" s="3" t="s">
        <v>34</v>
      </c>
    </row>
    <row r="121" spans="1:18">
      <c r="A121" s="2">
        <v>46193</v>
      </c>
      <c r="B121" s="3" t="s">
        <v>18</v>
      </c>
      <c r="C121" s="3" t="s">
        <v>3</v>
      </c>
      <c r="D121" s="3">
        <v>7</v>
      </c>
      <c r="E121" s="3"/>
      <c r="F121" s="4">
        <v>195</v>
      </c>
      <c r="G121" s="4">
        <v>4.0999999999999996</v>
      </c>
      <c r="H121" s="4">
        <v>4.21</v>
      </c>
      <c r="I121" s="4">
        <v>328.0000000000004</v>
      </c>
      <c r="J121" s="4">
        <v>278.27</v>
      </c>
      <c r="K121" s="4"/>
      <c r="L121" s="4">
        <v>0</v>
      </c>
      <c r="M121" s="5"/>
      <c r="N121" s="5"/>
      <c r="O121" s="3"/>
      <c r="P121" s="4">
        <f t="shared" si="2"/>
        <v>0.11000000000000032</v>
      </c>
      <c r="Q121" s="6">
        <f t="shared" si="3"/>
        <v>1.026829268292683</v>
      </c>
      <c r="R121" s="3" t="s">
        <v>34</v>
      </c>
    </row>
    <row r="122" spans="1:18" hidden="1">
      <c r="A122" s="2">
        <v>46194</v>
      </c>
      <c r="B122" s="3" t="s">
        <v>18</v>
      </c>
      <c r="C122" s="3" t="s">
        <v>19</v>
      </c>
      <c r="D122" s="3"/>
      <c r="E122" s="3"/>
      <c r="F122" s="4">
        <v>1240</v>
      </c>
      <c r="G122" s="4">
        <v>19.96</v>
      </c>
      <c r="H122" s="4">
        <v>21.8</v>
      </c>
      <c r="I122" s="4">
        <v>1928.1600000000008</v>
      </c>
      <c r="J122" s="4">
        <v>1481.4300000000003</v>
      </c>
      <c r="K122" s="4">
        <v>13</v>
      </c>
      <c r="L122" s="4">
        <v>0</v>
      </c>
      <c r="M122" s="5"/>
      <c r="N122" s="5"/>
      <c r="O122" s="3"/>
      <c r="P122" s="4">
        <f t="shared" si="2"/>
        <v>1.8399999999999999</v>
      </c>
      <c r="Q122" s="6">
        <f t="shared" si="3"/>
        <v>1.092184368737475</v>
      </c>
      <c r="R122" s="3" t="s">
        <v>35</v>
      </c>
    </row>
    <row r="123" spans="1:18">
      <c r="A123" s="2">
        <v>46194</v>
      </c>
      <c r="B123" s="3" t="s">
        <v>18</v>
      </c>
      <c r="C123" s="3" t="s">
        <v>3</v>
      </c>
      <c r="D123" s="3">
        <v>1</v>
      </c>
      <c r="E123" s="3"/>
      <c r="F123" s="4">
        <v>110</v>
      </c>
      <c r="G123" s="4">
        <v>1.93</v>
      </c>
      <c r="H123" s="4">
        <v>1.53</v>
      </c>
      <c r="I123" s="4">
        <v>159.53000000000014</v>
      </c>
      <c r="J123" s="4">
        <v>116.68</v>
      </c>
      <c r="K123" s="4"/>
      <c r="L123" s="4">
        <v>0</v>
      </c>
      <c r="M123" s="5"/>
      <c r="N123" s="5"/>
      <c r="O123" s="3"/>
      <c r="P123" s="4">
        <f t="shared" si="2"/>
        <v>-0.39999999999999991</v>
      </c>
      <c r="Q123" s="6">
        <f t="shared" si="3"/>
        <v>0.79274611398963735</v>
      </c>
      <c r="R123" s="3" t="s">
        <v>35</v>
      </c>
    </row>
    <row r="124" spans="1:18">
      <c r="A124" s="2">
        <v>46194</v>
      </c>
      <c r="B124" s="3" t="s">
        <v>18</v>
      </c>
      <c r="C124" s="3" t="s">
        <v>3</v>
      </c>
      <c r="D124" s="3">
        <v>2</v>
      </c>
      <c r="E124" s="3"/>
      <c r="F124" s="4">
        <v>110</v>
      </c>
      <c r="G124" s="4">
        <v>1.93</v>
      </c>
      <c r="H124" s="4">
        <v>1.62</v>
      </c>
      <c r="I124" s="4">
        <v>159.53000000000014</v>
      </c>
      <c r="J124" s="4">
        <v>121.32</v>
      </c>
      <c r="K124" s="4"/>
      <c r="L124" s="4">
        <v>0</v>
      </c>
      <c r="M124" s="5"/>
      <c r="N124" s="5"/>
      <c r="O124" s="3"/>
      <c r="P124" s="4">
        <f t="shared" si="2"/>
        <v>-0.30999999999999983</v>
      </c>
      <c r="Q124" s="6">
        <f t="shared" si="3"/>
        <v>0.83937823834196901</v>
      </c>
      <c r="R124" s="3" t="s">
        <v>35</v>
      </c>
    </row>
    <row r="125" spans="1:18">
      <c r="A125" s="2">
        <v>46194</v>
      </c>
      <c r="B125" s="3" t="s">
        <v>18</v>
      </c>
      <c r="C125" s="3" t="s">
        <v>3</v>
      </c>
      <c r="D125" s="3">
        <v>3</v>
      </c>
      <c r="E125" s="3"/>
      <c r="F125" s="4">
        <v>210</v>
      </c>
      <c r="G125" s="4">
        <v>3.9</v>
      </c>
      <c r="H125" s="4">
        <v>3.64</v>
      </c>
      <c r="I125" s="4">
        <v>322.89999999999964</v>
      </c>
      <c r="J125" s="4">
        <v>263.18</v>
      </c>
      <c r="K125" s="4"/>
      <c r="L125" s="4">
        <v>0</v>
      </c>
      <c r="M125" s="5"/>
      <c r="N125" s="5"/>
      <c r="O125" s="3"/>
      <c r="P125" s="4">
        <f t="shared" si="2"/>
        <v>-0.25999999999999979</v>
      </c>
      <c r="Q125" s="6">
        <f t="shared" si="3"/>
        <v>0.93333333333333335</v>
      </c>
      <c r="R125" s="3" t="s">
        <v>35</v>
      </c>
    </row>
    <row r="126" spans="1:18">
      <c r="A126" s="2">
        <v>46194</v>
      </c>
      <c r="B126" s="3" t="s">
        <v>18</v>
      </c>
      <c r="C126" s="3" t="s">
        <v>3</v>
      </c>
      <c r="D126" s="3">
        <v>4</v>
      </c>
      <c r="E126" s="3"/>
      <c r="F126" s="4">
        <v>210</v>
      </c>
      <c r="G126" s="4">
        <v>0</v>
      </c>
      <c r="H126" s="4">
        <v>3.52</v>
      </c>
      <c r="I126" s="4">
        <v>294</v>
      </c>
      <c r="J126" s="4">
        <v>117.9</v>
      </c>
      <c r="K126" s="4"/>
      <c r="L126" s="4">
        <v>0</v>
      </c>
      <c r="M126" s="5"/>
      <c r="N126" s="5"/>
      <c r="O126" s="3"/>
      <c r="P126" s="4">
        <f t="shared" si="2"/>
        <v>3.52</v>
      </c>
      <c r="Q126" s="6" t="str">
        <f t="shared" si="3"/>
        <v/>
      </c>
      <c r="R126" s="3" t="s">
        <v>35</v>
      </c>
    </row>
    <row r="127" spans="1:18">
      <c r="A127" s="2">
        <v>46194</v>
      </c>
      <c r="B127" s="3" t="s">
        <v>18</v>
      </c>
      <c r="C127" s="3" t="s">
        <v>3</v>
      </c>
      <c r="D127" s="3">
        <v>5</v>
      </c>
      <c r="E127" s="3"/>
      <c r="F127" s="4">
        <v>210</v>
      </c>
      <c r="G127" s="4">
        <v>4</v>
      </c>
      <c r="H127" s="4">
        <v>3.8</v>
      </c>
      <c r="I127" s="4">
        <v>326</v>
      </c>
      <c r="J127" s="4">
        <v>257.74</v>
      </c>
      <c r="K127" s="4"/>
      <c r="L127" s="4">
        <v>0</v>
      </c>
      <c r="M127" s="5"/>
      <c r="N127" s="5"/>
      <c r="O127" s="3"/>
      <c r="P127" s="4">
        <f t="shared" si="2"/>
        <v>-0.20000000000000018</v>
      </c>
      <c r="Q127" s="6">
        <f t="shared" si="3"/>
        <v>0.95</v>
      </c>
      <c r="R127" s="3" t="s">
        <v>35</v>
      </c>
    </row>
    <row r="128" spans="1:18">
      <c r="A128" s="2">
        <v>46194</v>
      </c>
      <c r="B128" s="3" t="s">
        <v>18</v>
      </c>
      <c r="C128" s="3" t="s">
        <v>3</v>
      </c>
      <c r="D128" s="3">
        <v>6</v>
      </c>
      <c r="E128" s="3"/>
      <c r="F128" s="4">
        <v>195</v>
      </c>
      <c r="G128" s="4">
        <v>4.0999999999999996</v>
      </c>
      <c r="H128" s="4">
        <v>3.85</v>
      </c>
      <c r="I128" s="4">
        <v>334.10000000000042</v>
      </c>
      <c r="J128" s="4">
        <v>322.5</v>
      </c>
      <c r="K128" s="4"/>
      <c r="L128" s="4">
        <v>0</v>
      </c>
      <c r="M128" s="5"/>
      <c r="N128" s="5"/>
      <c r="O128" s="3"/>
      <c r="P128" s="4">
        <f t="shared" si="2"/>
        <v>-0.24999999999999956</v>
      </c>
      <c r="Q128" s="6">
        <f t="shared" si="3"/>
        <v>0.9390243902439025</v>
      </c>
      <c r="R128" s="3" t="s">
        <v>35</v>
      </c>
    </row>
    <row r="129" spans="1:18">
      <c r="A129" s="2">
        <v>46194</v>
      </c>
      <c r="B129" s="3" t="s">
        <v>18</v>
      </c>
      <c r="C129" s="3" t="s">
        <v>3</v>
      </c>
      <c r="D129" s="3">
        <v>7</v>
      </c>
      <c r="E129" s="3"/>
      <c r="F129" s="4">
        <v>195</v>
      </c>
      <c r="G129" s="4">
        <v>4.0999999999999996</v>
      </c>
      <c r="H129" s="4">
        <v>3.84</v>
      </c>
      <c r="I129" s="4">
        <v>332.10000000000042</v>
      </c>
      <c r="J129" s="4">
        <v>282.11</v>
      </c>
      <c r="K129" s="4"/>
      <c r="L129" s="4">
        <v>0</v>
      </c>
      <c r="M129" s="5"/>
      <c r="N129" s="5"/>
      <c r="O129" s="3"/>
      <c r="P129" s="4">
        <f t="shared" si="2"/>
        <v>-0.25999999999999979</v>
      </c>
      <c r="Q129" s="6">
        <f t="shared" si="3"/>
        <v>0.93658536585365859</v>
      </c>
      <c r="R129" s="3" t="s">
        <v>35</v>
      </c>
    </row>
    <row r="130" spans="1:18" hidden="1">
      <c r="A130" s="2">
        <v>46195</v>
      </c>
      <c r="B130" s="3" t="s">
        <v>18</v>
      </c>
      <c r="C130" s="3" t="s">
        <v>19</v>
      </c>
      <c r="D130" s="3"/>
      <c r="E130" s="3"/>
      <c r="F130" s="4">
        <v>1240</v>
      </c>
      <c r="G130" s="4">
        <v>19.96</v>
      </c>
      <c r="H130" s="4">
        <v>21.79</v>
      </c>
      <c r="I130" s="4">
        <v>1948.1200000000008</v>
      </c>
      <c r="J130" s="4">
        <v>1503.2200000000003</v>
      </c>
      <c r="K130" s="4">
        <v>12</v>
      </c>
      <c r="L130" s="4">
        <v>0</v>
      </c>
      <c r="M130" s="5"/>
      <c r="N130" s="5"/>
      <c r="O130" s="3"/>
      <c r="P130" s="4">
        <f t="shared" ref="P130:P193" si="4">IF(OR(G130="",H130=""),"",H130-G130)</f>
        <v>1.8299999999999983</v>
      </c>
      <c r="Q130" s="6">
        <f t="shared" ref="Q130:Q193" si="5">IF(OR(G130="",G130=0,H130=""),"",H130/G130)</f>
        <v>1.0916833667334669</v>
      </c>
      <c r="R130" s="3" t="s">
        <v>36</v>
      </c>
    </row>
    <row r="131" spans="1:18">
      <c r="A131" s="2">
        <v>46195</v>
      </c>
      <c r="B131" s="3" t="s">
        <v>18</v>
      </c>
      <c r="C131" s="3" t="s">
        <v>3</v>
      </c>
      <c r="D131" s="3">
        <v>1</v>
      </c>
      <c r="E131" s="3"/>
      <c r="F131" s="4">
        <v>110</v>
      </c>
      <c r="G131" s="4">
        <v>1.93</v>
      </c>
      <c r="H131" s="4">
        <v>1.56</v>
      </c>
      <c r="I131" s="4">
        <v>161.46000000000015</v>
      </c>
      <c r="J131" s="4">
        <v>118.24</v>
      </c>
      <c r="K131" s="4"/>
      <c r="L131" s="4">
        <v>0</v>
      </c>
      <c r="M131" s="5"/>
      <c r="N131" s="5"/>
      <c r="O131" s="3"/>
      <c r="P131" s="4">
        <f t="shared" si="4"/>
        <v>-0.36999999999999988</v>
      </c>
      <c r="Q131" s="6">
        <f t="shared" si="5"/>
        <v>0.8082901554404146</v>
      </c>
      <c r="R131" s="3" t="s">
        <v>36</v>
      </c>
    </row>
    <row r="132" spans="1:18">
      <c r="A132" s="2">
        <v>46195</v>
      </c>
      <c r="B132" s="3" t="s">
        <v>18</v>
      </c>
      <c r="C132" s="3" t="s">
        <v>3</v>
      </c>
      <c r="D132" s="3">
        <v>2</v>
      </c>
      <c r="E132" s="3"/>
      <c r="F132" s="4">
        <v>110</v>
      </c>
      <c r="G132" s="4">
        <v>1.93</v>
      </c>
      <c r="H132" s="4">
        <v>1.62</v>
      </c>
      <c r="I132" s="4">
        <v>161.46000000000015</v>
      </c>
      <c r="J132" s="4">
        <v>122.94</v>
      </c>
      <c r="K132" s="4"/>
      <c r="L132" s="4">
        <v>0</v>
      </c>
      <c r="M132" s="5"/>
      <c r="N132" s="5"/>
      <c r="O132" s="3"/>
      <c r="P132" s="4">
        <f t="shared" si="4"/>
        <v>-0.30999999999999983</v>
      </c>
      <c r="Q132" s="6">
        <f t="shared" si="5"/>
        <v>0.83937823834196901</v>
      </c>
      <c r="R132" s="3" t="s">
        <v>36</v>
      </c>
    </row>
    <row r="133" spans="1:18">
      <c r="A133" s="2">
        <v>46195</v>
      </c>
      <c r="B133" s="3" t="s">
        <v>18</v>
      </c>
      <c r="C133" s="3" t="s">
        <v>3</v>
      </c>
      <c r="D133" s="3">
        <v>3</v>
      </c>
      <c r="E133" s="3"/>
      <c r="F133" s="4">
        <v>210</v>
      </c>
      <c r="G133" s="4">
        <v>3.9</v>
      </c>
      <c r="H133" s="4">
        <v>3.67</v>
      </c>
      <c r="I133" s="4">
        <v>326.79999999999961</v>
      </c>
      <c r="J133" s="4">
        <v>266.85000000000002</v>
      </c>
      <c r="K133" s="4"/>
      <c r="L133" s="4">
        <v>0</v>
      </c>
      <c r="M133" s="5"/>
      <c r="N133" s="5"/>
      <c r="O133" s="3"/>
      <c r="P133" s="4">
        <f t="shared" si="4"/>
        <v>-0.22999999999999998</v>
      </c>
      <c r="Q133" s="6">
        <f t="shared" si="5"/>
        <v>0.94102564102564101</v>
      </c>
      <c r="R133" s="3" t="s">
        <v>36</v>
      </c>
    </row>
    <row r="134" spans="1:18">
      <c r="A134" s="2">
        <v>46195</v>
      </c>
      <c r="B134" s="3" t="s">
        <v>18</v>
      </c>
      <c r="C134" s="3" t="s">
        <v>3</v>
      </c>
      <c r="D134" s="3">
        <v>4</v>
      </c>
      <c r="E134" s="3"/>
      <c r="F134" s="4">
        <v>210</v>
      </c>
      <c r="G134" s="4">
        <v>0</v>
      </c>
      <c r="H134" s="4">
        <v>3.48</v>
      </c>
      <c r="I134" s="4">
        <v>294</v>
      </c>
      <c r="J134" s="4">
        <v>121.38</v>
      </c>
      <c r="K134" s="4"/>
      <c r="L134" s="4">
        <v>0</v>
      </c>
      <c r="M134" s="5"/>
      <c r="N134" s="5"/>
      <c r="O134" s="3"/>
      <c r="P134" s="4">
        <f t="shared" si="4"/>
        <v>3.48</v>
      </c>
      <c r="Q134" s="6" t="str">
        <f t="shared" si="5"/>
        <v/>
      </c>
      <c r="R134" s="3" t="s">
        <v>36</v>
      </c>
    </row>
    <row r="135" spans="1:18">
      <c r="A135" s="2">
        <v>46195</v>
      </c>
      <c r="B135" s="3" t="s">
        <v>18</v>
      </c>
      <c r="C135" s="3" t="s">
        <v>3</v>
      </c>
      <c r="D135" s="3">
        <v>5</v>
      </c>
      <c r="E135" s="3"/>
      <c r="F135" s="4">
        <v>210</v>
      </c>
      <c r="G135" s="4">
        <v>4</v>
      </c>
      <c r="H135" s="4">
        <v>3.83</v>
      </c>
      <c r="I135" s="4">
        <v>330</v>
      </c>
      <c r="J135" s="4">
        <v>261.57</v>
      </c>
      <c r="K135" s="4"/>
      <c r="L135" s="4">
        <v>0</v>
      </c>
      <c r="M135" s="5"/>
      <c r="N135" s="5"/>
      <c r="O135" s="3"/>
      <c r="P135" s="4">
        <f t="shared" si="4"/>
        <v>-0.16999999999999993</v>
      </c>
      <c r="Q135" s="6">
        <f t="shared" si="5"/>
        <v>0.95750000000000002</v>
      </c>
      <c r="R135" s="3" t="s">
        <v>36</v>
      </c>
    </row>
    <row r="136" spans="1:18">
      <c r="A136" s="2">
        <v>46195</v>
      </c>
      <c r="B136" s="3" t="s">
        <v>18</v>
      </c>
      <c r="C136" s="3" t="s">
        <v>3</v>
      </c>
      <c r="D136" s="3">
        <v>6</v>
      </c>
      <c r="E136" s="3"/>
      <c r="F136" s="4">
        <v>195</v>
      </c>
      <c r="G136" s="4">
        <v>4.0999999999999996</v>
      </c>
      <c r="H136" s="4">
        <v>3.86</v>
      </c>
      <c r="I136" s="4">
        <v>338.20000000000044</v>
      </c>
      <c r="J136" s="4">
        <v>326.36</v>
      </c>
      <c r="K136" s="4"/>
      <c r="L136" s="4">
        <v>0</v>
      </c>
      <c r="M136" s="5"/>
      <c r="N136" s="5"/>
      <c r="O136" s="3"/>
      <c r="P136" s="4">
        <f t="shared" si="4"/>
        <v>-0.23999999999999977</v>
      </c>
      <c r="Q136" s="6">
        <f t="shared" si="5"/>
        <v>0.9414634146341464</v>
      </c>
      <c r="R136" s="3" t="s">
        <v>36</v>
      </c>
    </row>
    <row r="137" spans="1:18">
      <c r="A137" s="2">
        <v>46195</v>
      </c>
      <c r="B137" s="3" t="s">
        <v>18</v>
      </c>
      <c r="C137" s="3" t="s">
        <v>3</v>
      </c>
      <c r="D137" s="3">
        <v>7</v>
      </c>
      <c r="E137" s="3"/>
      <c r="F137" s="4">
        <v>195</v>
      </c>
      <c r="G137" s="4">
        <v>4.0999999999999996</v>
      </c>
      <c r="H137" s="4">
        <v>3.77</v>
      </c>
      <c r="I137" s="4">
        <v>336.20000000000044</v>
      </c>
      <c r="J137" s="4">
        <v>285.88</v>
      </c>
      <c r="K137" s="4"/>
      <c r="L137" s="4">
        <v>0</v>
      </c>
      <c r="M137" s="5"/>
      <c r="N137" s="5"/>
      <c r="O137" s="3"/>
      <c r="P137" s="4">
        <f t="shared" si="4"/>
        <v>-0.32999999999999963</v>
      </c>
      <c r="Q137" s="6">
        <f t="shared" si="5"/>
        <v>0.91951219512195126</v>
      </c>
      <c r="R137" s="3" t="s">
        <v>36</v>
      </c>
    </row>
    <row r="138" spans="1:18" hidden="1">
      <c r="A138" s="2">
        <v>46196</v>
      </c>
      <c r="B138" s="3" t="s">
        <v>18</v>
      </c>
      <c r="C138" s="3" t="s">
        <v>19</v>
      </c>
      <c r="D138" s="3"/>
      <c r="E138" s="3"/>
      <c r="F138" s="4">
        <v>1240</v>
      </c>
      <c r="G138" s="4">
        <v>19.96</v>
      </c>
      <c r="H138" s="4">
        <v>22.3</v>
      </c>
      <c r="I138" s="4">
        <v>1968.0800000000008</v>
      </c>
      <c r="J138" s="4">
        <v>1525.52</v>
      </c>
      <c r="K138" s="4">
        <v>12</v>
      </c>
      <c r="L138" s="4">
        <v>0</v>
      </c>
      <c r="M138" s="5"/>
      <c r="N138" s="5"/>
      <c r="O138" s="3"/>
      <c r="P138" s="4">
        <f t="shared" si="4"/>
        <v>2.34</v>
      </c>
      <c r="Q138" s="6">
        <f t="shared" si="5"/>
        <v>1.1172344689378757</v>
      </c>
      <c r="R138" s="3" t="s">
        <v>37</v>
      </c>
    </row>
    <row r="139" spans="1:18">
      <c r="A139" s="2">
        <v>46196</v>
      </c>
      <c r="B139" s="3" t="s">
        <v>18</v>
      </c>
      <c r="C139" s="3" t="s">
        <v>3</v>
      </c>
      <c r="D139" s="3">
        <v>1</v>
      </c>
      <c r="E139" s="3"/>
      <c r="F139" s="4">
        <v>110</v>
      </c>
      <c r="G139" s="4">
        <v>1.93</v>
      </c>
      <c r="H139" s="4">
        <v>1.63</v>
      </c>
      <c r="I139" s="4">
        <v>163.39000000000016</v>
      </c>
      <c r="J139" s="4">
        <v>119.87</v>
      </c>
      <c r="K139" s="4"/>
      <c r="L139" s="4">
        <v>0</v>
      </c>
      <c r="M139" s="5"/>
      <c r="N139" s="5"/>
      <c r="O139" s="3"/>
      <c r="P139" s="4">
        <f t="shared" si="4"/>
        <v>-0.30000000000000004</v>
      </c>
      <c r="Q139" s="6">
        <f t="shared" si="5"/>
        <v>0.84455958549222798</v>
      </c>
      <c r="R139" s="3" t="s">
        <v>37</v>
      </c>
    </row>
    <row r="140" spans="1:18">
      <c r="A140" s="2">
        <v>46196</v>
      </c>
      <c r="B140" s="3" t="s">
        <v>18</v>
      </c>
      <c r="C140" s="3" t="s">
        <v>3</v>
      </c>
      <c r="D140" s="3">
        <v>2</v>
      </c>
      <c r="E140" s="3"/>
      <c r="F140" s="4">
        <v>110</v>
      </c>
      <c r="G140" s="4">
        <v>1.93</v>
      </c>
      <c r="H140" s="4">
        <v>1.67</v>
      </c>
      <c r="I140" s="4">
        <v>163.39000000000016</v>
      </c>
      <c r="J140" s="4">
        <v>124.61</v>
      </c>
      <c r="K140" s="4"/>
      <c r="L140" s="4">
        <v>0</v>
      </c>
      <c r="M140" s="5"/>
      <c r="N140" s="5"/>
      <c r="O140" s="3"/>
      <c r="P140" s="4">
        <f t="shared" si="4"/>
        <v>-0.26</v>
      </c>
      <c r="Q140" s="6">
        <f t="shared" si="5"/>
        <v>0.86528497409326421</v>
      </c>
      <c r="R140" s="3" t="s">
        <v>37</v>
      </c>
    </row>
    <row r="141" spans="1:18">
      <c r="A141" s="2">
        <v>46196</v>
      </c>
      <c r="B141" s="3" t="s">
        <v>18</v>
      </c>
      <c r="C141" s="3" t="s">
        <v>3</v>
      </c>
      <c r="D141" s="3">
        <v>3</v>
      </c>
      <c r="E141" s="3"/>
      <c r="F141" s="4">
        <v>210</v>
      </c>
      <c r="G141" s="4">
        <v>3.9</v>
      </c>
      <c r="H141" s="4">
        <v>3.76</v>
      </c>
      <c r="I141" s="4">
        <v>330.69999999999959</v>
      </c>
      <c r="J141" s="4">
        <v>270.61</v>
      </c>
      <c r="K141" s="4"/>
      <c r="L141" s="4">
        <v>0</v>
      </c>
      <c r="M141" s="5"/>
      <c r="N141" s="5"/>
      <c r="O141" s="3"/>
      <c r="P141" s="4">
        <f t="shared" si="4"/>
        <v>-0.14000000000000012</v>
      </c>
      <c r="Q141" s="6">
        <f t="shared" si="5"/>
        <v>0.96410256410256412</v>
      </c>
      <c r="R141" s="3" t="s">
        <v>37</v>
      </c>
    </row>
    <row r="142" spans="1:18">
      <c r="A142" s="2">
        <v>46196</v>
      </c>
      <c r="B142" s="3" t="s">
        <v>18</v>
      </c>
      <c r="C142" s="3" t="s">
        <v>3</v>
      </c>
      <c r="D142" s="3">
        <v>4</v>
      </c>
      <c r="E142" s="3"/>
      <c r="F142" s="4">
        <v>210</v>
      </c>
      <c r="G142" s="4">
        <v>0</v>
      </c>
      <c r="H142" s="4">
        <v>3.56</v>
      </c>
      <c r="I142" s="4">
        <v>294</v>
      </c>
      <c r="J142" s="4">
        <v>124.94</v>
      </c>
      <c r="K142" s="4"/>
      <c r="L142" s="4">
        <v>0</v>
      </c>
      <c r="M142" s="5"/>
      <c r="N142" s="5"/>
      <c r="O142" s="3"/>
      <c r="P142" s="4">
        <f t="shared" si="4"/>
        <v>3.56</v>
      </c>
      <c r="Q142" s="6" t="str">
        <f t="shared" si="5"/>
        <v/>
      </c>
      <c r="R142" s="3" t="s">
        <v>37</v>
      </c>
    </row>
    <row r="143" spans="1:18">
      <c r="A143" s="2">
        <v>46196</v>
      </c>
      <c r="B143" s="3" t="s">
        <v>18</v>
      </c>
      <c r="C143" s="3" t="s">
        <v>3</v>
      </c>
      <c r="D143" s="3">
        <v>5</v>
      </c>
      <c r="E143" s="3"/>
      <c r="F143" s="4">
        <v>210</v>
      </c>
      <c r="G143" s="4">
        <v>4</v>
      </c>
      <c r="H143" s="4">
        <v>3.96</v>
      </c>
      <c r="I143" s="4">
        <v>334</v>
      </c>
      <c r="J143" s="4">
        <v>265.52999999999997</v>
      </c>
      <c r="K143" s="4"/>
      <c r="L143" s="4">
        <v>0</v>
      </c>
      <c r="M143" s="5"/>
      <c r="N143" s="5"/>
      <c r="O143" s="3"/>
      <c r="P143" s="4">
        <f t="shared" si="4"/>
        <v>-4.0000000000000036E-2</v>
      </c>
      <c r="Q143" s="6">
        <f t="shared" si="5"/>
        <v>0.99</v>
      </c>
      <c r="R143" s="3" t="s">
        <v>37</v>
      </c>
    </row>
    <row r="144" spans="1:18">
      <c r="A144" s="2">
        <v>46196</v>
      </c>
      <c r="B144" s="3" t="s">
        <v>18</v>
      </c>
      <c r="C144" s="3" t="s">
        <v>3</v>
      </c>
      <c r="D144" s="3">
        <v>6</v>
      </c>
      <c r="E144" s="3"/>
      <c r="F144" s="4">
        <v>195</v>
      </c>
      <c r="G144" s="4">
        <v>4.0999999999999996</v>
      </c>
      <c r="H144" s="4">
        <v>3.85</v>
      </c>
      <c r="I144" s="4">
        <v>342.30000000000047</v>
      </c>
      <c r="J144" s="4">
        <v>330.21</v>
      </c>
      <c r="K144" s="4"/>
      <c r="L144" s="4">
        <v>0</v>
      </c>
      <c r="M144" s="5"/>
      <c r="N144" s="5"/>
      <c r="O144" s="3"/>
      <c r="P144" s="4">
        <f t="shared" si="4"/>
        <v>-0.24999999999999956</v>
      </c>
      <c r="Q144" s="6">
        <f t="shared" si="5"/>
        <v>0.9390243902439025</v>
      </c>
      <c r="R144" s="3" t="s">
        <v>37</v>
      </c>
    </row>
    <row r="145" spans="1:18">
      <c r="A145" s="2">
        <v>46196</v>
      </c>
      <c r="B145" s="3" t="s">
        <v>18</v>
      </c>
      <c r="C145" s="3" t="s">
        <v>3</v>
      </c>
      <c r="D145" s="3">
        <v>7</v>
      </c>
      <c r="E145" s="3"/>
      <c r="F145" s="4">
        <v>195</v>
      </c>
      <c r="G145" s="4">
        <v>4.0999999999999996</v>
      </c>
      <c r="H145" s="4">
        <v>3.87</v>
      </c>
      <c r="I145" s="4">
        <v>340.30000000000047</v>
      </c>
      <c r="J145" s="4">
        <v>289.75</v>
      </c>
      <c r="K145" s="4"/>
      <c r="L145" s="4">
        <v>0</v>
      </c>
      <c r="M145" s="5"/>
      <c r="N145" s="5"/>
      <c r="O145" s="3"/>
      <c r="P145" s="4">
        <f t="shared" si="4"/>
        <v>-0.22999999999999954</v>
      </c>
      <c r="Q145" s="6">
        <f t="shared" si="5"/>
        <v>0.94390243902439031</v>
      </c>
      <c r="R145" s="3" t="s">
        <v>37</v>
      </c>
    </row>
    <row r="146" spans="1:18" hidden="1">
      <c r="A146" s="2">
        <v>46197</v>
      </c>
      <c r="B146" s="3" t="s">
        <v>18</v>
      </c>
      <c r="C146" s="3" t="s">
        <v>19</v>
      </c>
      <c r="D146" s="3"/>
      <c r="E146" s="3"/>
      <c r="F146" s="4">
        <v>1240</v>
      </c>
      <c r="G146" s="4">
        <v>19.96</v>
      </c>
      <c r="H146" s="4">
        <v>22.02</v>
      </c>
      <c r="I146" s="4">
        <v>1988.0400000000009</v>
      </c>
      <c r="J146" s="4">
        <v>1547.5400000000002</v>
      </c>
      <c r="K146" s="4">
        <v>11</v>
      </c>
      <c r="L146" s="4">
        <v>0</v>
      </c>
      <c r="M146" s="5"/>
      <c r="N146" s="5"/>
      <c r="O146" s="3"/>
      <c r="P146" s="4">
        <f t="shared" si="4"/>
        <v>2.0599999999999987</v>
      </c>
      <c r="Q146" s="6">
        <f t="shared" si="5"/>
        <v>1.1032064128256511</v>
      </c>
      <c r="R146" s="3" t="s">
        <v>38</v>
      </c>
    </row>
    <row r="147" spans="1:18">
      <c r="A147" s="2">
        <v>46197</v>
      </c>
      <c r="B147" s="3" t="s">
        <v>18</v>
      </c>
      <c r="C147" s="3" t="s">
        <v>3</v>
      </c>
      <c r="D147" s="3">
        <v>1</v>
      </c>
      <c r="E147" s="3"/>
      <c r="F147" s="4">
        <v>110</v>
      </c>
      <c r="G147" s="4">
        <v>1.93</v>
      </c>
      <c r="H147" s="4">
        <v>1.58</v>
      </c>
      <c r="I147" s="4">
        <v>165.32000000000016</v>
      </c>
      <c r="J147" s="4">
        <v>121.45</v>
      </c>
      <c r="K147" s="4"/>
      <c r="L147" s="4">
        <v>0</v>
      </c>
      <c r="M147" s="5"/>
      <c r="N147" s="5"/>
      <c r="O147" s="3"/>
      <c r="P147" s="4">
        <f t="shared" si="4"/>
        <v>-0.34999999999999987</v>
      </c>
      <c r="Q147" s="6">
        <f t="shared" si="5"/>
        <v>0.81865284974093266</v>
      </c>
      <c r="R147" s="3" t="s">
        <v>38</v>
      </c>
    </row>
    <row r="148" spans="1:18">
      <c r="A148" s="2">
        <v>46197</v>
      </c>
      <c r="B148" s="3" t="s">
        <v>18</v>
      </c>
      <c r="C148" s="3" t="s">
        <v>3</v>
      </c>
      <c r="D148" s="3">
        <v>2</v>
      </c>
      <c r="E148" s="3"/>
      <c r="F148" s="4">
        <v>110</v>
      </c>
      <c r="G148" s="4">
        <v>1.93</v>
      </c>
      <c r="H148" s="4">
        <v>1.61</v>
      </c>
      <c r="I148" s="4">
        <v>165.32000000000016</v>
      </c>
      <c r="J148" s="4">
        <v>126.22</v>
      </c>
      <c r="K148" s="4"/>
      <c r="L148" s="4">
        <v>0</v>
      </c>
      <c r="M148" s="5"/>
      <c r="N148" s="5"/>
      <c r="O148" s="3"/>
      <c r="P148" s="4">
        <f t="shared" si="4"/>
        <v>-0.31999999999999984</v>
      </c>
      <c r="Q148" s="6">
        <f t="shared" si="5"/>
        <v>0.83419689119170992</v>
      </c>
      <c r="R148" s="3" t="s">
        <v>38</v>
      </c>
    </row>
    <row r="149" spans="1:18">
      <c r="A149" s="2">
        <v>46197</v>
      </c>
      <c r="B149" s="3" t="s">
        <v>18</v>
      </c>
      <c r="C149" s="3" t="s">
        <v>3</v>
      </c>
      <c r="D149" s="3">
        <v>3</v>
      </c>
      <c r="E149" s="3"/>
      <c r="F149" s="4">
        <v>210</v>
      </c>
      <c r="G149" s="4">
        <v>3.9</v>
      </c>
      <c r="H149" s="4">
        <v>3.69</v>
      </c>
      <c r="I149" s="4">
        <v>334.59999999999957</v>
      </c>
      <c r="J149" s="4">
        <v>274.3</v>
      </c>
      <c r="K149" s="4"/>
      <c r="L149" s="4">
        <v>0</v>
      </c>
      <c r="M149" s="5"/>
      <c r="N149" s="5"/>
      <c r="O149" s="3"/>
      <c r="P149" s="4">
        <f t="shared" si="4"/>
        <v>-0.20999999999999996</v>
      </c>
      <c r="Q149" s="6">
        <f t="shared" si="5"/>
        <v>0.94615384615384612</v>
      </c>
      <c r="R149" s="3" t="s">
        <v>38</v>
      </c>
    </row>
    <row r="150" spans="1:18">
      <c r="A150" s="2">
        <v>46197</v>
      </c>
      <c r="B150" s="3" t="s">
        <v>18</v>
      </c>
      <c r="C150" s="3" t="s">
        <v>3</v>
      </c>
      <c r="D150" s="3">
        <v>4</v>
      </c>
      <c r="E150" s="3"/>
      <c r="F150" s="4">
        <v>210</v>
      </c>
      <c r="G150" s="4">
        <v>0</v>
      </c>
      <c r="H150" s="4">
        <v>3.51</v>
      </c>
      <c r="I150" s="4">
        <v>294</v>
      </c>
      <c r="J150" s="4">
        <v>128.44999999999999</v>
      </c>
      <c r="K150" s="4"/>
      <c r="L150" s="4">
        <v>0</v>
      </c>
      <c r="M150" s="5"/>
      <c r="N150" s="5"/>
      <c r="O150" s="3"/>
      <c r="P150" s="4">
        <f t="shared" si="4"/>
        <v>3.51</v>
      </c>
      <c r="Q150" s="6" t="str">
        <f t="shared" si="5"/>
        <v/>
      </c>
      <c r="R150" s="3" t="s">
        <v>38</v>
      </c>
    </row>
    <row r="151" spans="1:18">
      <c r="A151" s="2">
        <v>46197</v>
      </c>
      <c r="B151" s="3" t="s">
        <v>18</v>
      </c>
      <c r="C151" s="3" t="s">
        <v>3</v>
      </c>
      <c r="D151" s="3">
        <v>5</v>
      </c>
      <c r="E151" s="3"/>
      <c r="F151" s="4">
        <v>210</v>
      </c>
      <c r="G151" s="4">
        <v>4</v>
      </c>
      <c r="H151" s="4">
        <v>3.86</v>
      </c>
      <c r="I151" s="4">
        <v>338</v>
      </c>
      <c r="J151" s="4">
        <v>269.39</v>
      </c>
      <c r="K151" s="4"/>
      <c r="L151" s="4">
        <v>0</v>
      </c>
      <c r="M151" s="5"/>
      <c r="N151" s="5"/>
      <c r="O151" s="3"/>
      <c r="P151" s="4">
        <f t="shared" si="4"/>
        <v>-0.14000000000000012</v>
      </c>
      <c r="Q151" s="6">
        <f t="shared" si="5"/>
        <v>0.96499999999999997</v>
      </c>
      <c r="R151" s="3" t="s">
        <v>38</v>
      </c>
    </row>
    <row r="152" spans="1:18">
      <c r="A152" s="2">
        <v>46197</v>
      </c>
      <c r="B152" s="3" t="s">
        <v>18</v>
      </c>
      <c r="C152" s="3" t="s">
        <v>3</v>
      </c>
      <c r="D152" s="3">
        <v>6</v>
      </c>
      <c r="E152" s="3"/>
      <c r="F152" s="4">
        <v>195</v>
      </c>
      <c r="G152" s="4">
        <v>4.0999999999999996</v>
      </c>
      <c r="H152" s="4">
        <v>3.84</v>
      </c>
      <c r="I152" s="4">
        <v>346.40000000000049</v>
      </c>
      <c r="J152" s="4">
        <v>334.05</v>
      </c>
      <c r="K152" s="4"/>
      <c r="L152" s="4">
        <v>0</v>
      </c>
      <c r="M152" s="5"/>
      <c r="N152" s="5"/>
      <c r="O152" s="3"/>
      <c r="P152" s="4">
        <f t="shared" si="4"/>
        <v>-0.25999999999999979</v>
      </c>
      <c r="Q152" s="6">
        <f t="shared" si="5"/>
        <v>0.93658536585365859</v>
      </c>
      <c r="R152" s="3" t="s">
        <v>38</v>
      </c>
    </row>
    <row r="153" spans="1:18">
      <c r="A153" s="2">
        <v>46197</v>
      </c>
      <c r="B153" s="3" t="s">
        <v>18</v>
      </c>
      <c r="C153" s="3" t="s">
        <v>3</v>
      </c>
      <c r="D153" s="3">
        <v>7</v>
      </c>
      <c r="E153" s="3"/>
      <c r="F153" s="4">
        <v>195</v>
      </c>
      <c r="G153" s="4">
        <v>4.0999999999999996</v>
      </c>
      <c r="H153" s="4">
        <v>3.93</v>
      </c>
      <c r="I153" s="4">
        <v>344.40000000000049</v>
      </c>
      <c r="J153" s="4">
        <v>293.68</v>
      </c>
      <c r="K153" s="4"/>
      <c r="L153" s="4">
        <v>0</v>
      </c>
      <c r="M153" s="5"/>
      <c r="N153" s="5"/>
      <c r="O153" s="3"/>
      <c r="P153" s="4">
        <f t="shared" si="4"/>
        <v>-0.16999999999999948</v>
      </c>
      <c r="Q153" s="6">
        <f t="shared" si="5"/>
        <v>0.95853658536585373</v>
      </c>
      <c r="R153" s="3" t="s">
        <v>38</v>
      </c>
    </row>
    <row r="154" spans="1:18" hidden="1">
      <c r="A154" s="2">
        <v>46198</v>
      </c>
      <c r="B154" s="3" t="s">
        <v>18</v>
      </c>
      <c r="C154" s="3" t="s">
        <v>19</v>
      </c>
      <c r="D154" s="3"/>
      <c r="E154" s="3"/>
      <c r="F154" s="4">
        <v>1240</v>
      </c>
      <c r="G154" s="4">
        <v>19.96</v>
      </c>
      <c r="H154" s="4">
        <v>22.35</v>
      </c>
      <c r="I154" s="4">
        <v>2008.0000000000009</v>
      </c>
      <c r="J154" s="4">
        <v>1569.8899999999999</v>
      </c>
      <c r="K154" s="4">
        <v>11</v>
      </c>
      <c r="L154" s="4">
        <v>0</v>
      </c>
      <c r="M154" s="5"/>
      <c r="N154" s="5"/>
      <c r="O154" s="3"/>
      <c r="P154" s="4">
        <f t="shared" si="4"/>
        <v>2.3900000000000006</v>
      </c>
      <c r="Q154" s="6">
        <f t="shared" si="5"/>
        <v>1.1197394789579158</v>
      </c>
      <c r="R154" s="3" t="s">
        <v>39</v>
      </c>
    </row>
    <row r="155" spans="1:18">
      <c r="A155" s="2">
        <v>46198</v>
      </c>
      <c r="B155" s="3" t="s">
        <v>18</v>
      </c>
      <c r="C155" s="3" t="s">
        <v>3</v>
      </c>
      <c r="D155" s="3">
        <v>1</v>
      </c>
      <c r="E155" s="3"/>
      <c r="F155" s="4">
        <v>110</v>
      </c>
      <c r="G155" s="4">
        <v>1.93</v>
      </c>
      <c r="H155" s="4">
        <v>1.6</v>
      </c>
      <c r="I155" s="4">
        <v>167.25000000000017</v>
      </c>
      <c r="J155" s="4">
        <v>123.05</v>
      </c>
      <c r="K155" s="4"/>
      <c r="L155" s="4">
        <v>0</v>
      </c>
      <c r="M155" s="5"/>
      <c r="N155" s="5"/>
      <c r="O155" s="3"/>
      <c r="P155" s="4">
        <f t="shared" si="4"/>
        <v>-0.32999999999999985</v>
      </c>
      <c r="Q155" s="6">
        <f t="shared" si="5"/>
        <v>0.82901554404145084</v>
      </c>
      <c r="R155" s="3" t="s">
        <v>39</v>
      </c>
    </row>
    <row r="156" spans="1:18">
      <c r="A156" s="2">
        <v>46198</v>
      </c>
      <c r="B156" s="3" t="s">
        <v>18</v>
      </c>
      <c r="C156" s="3" t="s">
        <v>3</v>
      </c>
      <c r="D156" s="3">
        <v>2</v>
      </c>
      <c r="E156" s="3"/>
      <c r="F156" s="4">
        <v>110</v>
      </c>
      <c r="G156" s="4">
        <v>1.93</v>
      </c>
      <c r="H156" s="4">
        <v>1.65</v>
      </c>
      <c r="I156" s="4">
        <v>167.25000000000017</v>
      </c>
      <c r="J156" s="4">
        <v>127.87</v>
      </c>
      <c r="K156" s="4"/>
      <c r="L156" s="4">
        <v>0</v>
      </c>
      <c r="M156" s="5"/>
      <c r="N156" s="5"/>
      <c r="O156" s="3"/>
      <c r="P156" s="4">
        <f t="shared" si="4"/>
        <v>-0.28000000000000003</v>
      </c>
      <c r="Q156" s="6">
        <f t="shared" si="5"/>
        <v>0.85492227979274604</v>
      </c>
      <c r="R156" s="3" t="s">
        <v>39</v>
      </c>
    </row>
    <row r="157" spans="1:18">
      <c r="A157" s="2">
        <v>46198</v>
      </c>
      <c r="B157" s="3" t="s">
        <v>18</v>
      </c>
      <c r="C157" s="3" t="s">
        <v>3</v>
      </c>
      <c r="D157" s="3">
        <v>3</v>
      </c>
      <c r="E157" s="3"/>
      <c r="F157" s="4">
        <v>210</v>
      </c>
      <c r="G157" s="4">
        <v>3.9</v>
      </c>
      <c r="H157" s="4">
        <v>3.89</v>
      </c>
      <c r="I157" s="4">
        <v>338.49999999999955</v>
      </c>
      <c r="J157" s="4">
        <v>278.19</v>
      </c>
      <c r="K157" s="4"/>
      <c r="L157" s="4">
        <v>0</v>
      </c>
      <c r="M157" s="5"/>
      <c r="N157" s="5"/>
      <c r="O157" s="3"/>
      <c r="P157" s="4">
        <f t="shared" si="4"/>
        <v>-9.9999999999997868E-3</v>
      </c>
      <c r="Q157" s="6">
        <f t="shared" si="5"/>
        <v>0.99743589743589745</v>
      </c>
      <c r="R157" s="3" t="s">
        <v>39</v>
      </c>
    </row>
    <row r="158" spans="1:18">
      <c r="A158" s="2">
        <v>46198</v>
      </c>
      <c r="B158" s="3" t="s">
        <v>18</v>
      </c>
      <c r="C158" s="3" t="s">
        <v>3</v>
      </c>
      <c r="D158" s="3">
        <v>4</v>
      </c>
      <c r="E158" s="3"/>
      <c r="F158" s="4">
        <v>210</v>
      </c>
      <c r="G158" s="4">
        <v>0</v>
      </c>
      <c r="H158" s="4">
        <v>3.52</v>
      </c>
      <c r="I158" s="4">
        <v>294</v>
      </c>
      <c r="J158" s="4">
        <v>131.97</v>
      </c>
      <c r="K158" s="4"/>
      <c r="L158" s="4">
        <v>0</v>
      </c>
      <c r="M158" s="5"/>
      <c r="N158" s="5"/>
      <c r="O158" s="3"/>
      <c r="P158" s="4">
        <f t="shared" si="4"/>
        <v>3.52</v>
      </c>
      <c r="Q158" s="6" t="str">
        <f t="shared" si="5"/>
        <v/>
      </c>
      <c r="R158" s="3" t="s">
        <v>39</v>
      </c>
    </row>
    <row r="159" spans="1:18">
      <c r="A159" s="2">
        <v>46198</v>
      </c>
      <c r="B159" s="3" t="s">
        <v>18</v>
      </c>
      <c r="C159" s="3" t="s">
        <v>3</v>
      </c>
      <c r="D159" s="3">
        <v>5</v>
      </c>
      <c r="E159" s="3"/>
      <c r="F159" s="4">
        <v>210</v>
      </c>
      <c r="G159" s="4">
        <v>4</v>
      </c>
      <c r="H159" s="4">
        <v>3.92</v>
      </c>
      <c r="I159" s="4">
        <v>342</v>
      </c>
      <c r="J159" s="4">
        <v>273.31</v>
      </c>
      <c r="K159" s="4"/>
      <c r="L159" s="4">
        <v>0</v>
      </c>
      <c r="M159" s="5"/>
      <c r="N159" s="5"/>
      <c r="O159" s="3"/>
      <c r="P159" s="4">
        <f t="shared" si="4"/>
        <v>-8.0000000000000071E-2</v>
      </c>
      <c r="Q159" s="6">
        <f t="shared" si="5"/>
        <v>0.98</v>
      </c>
      <c r="R159" s="3" t="s">
        <v>39</v>
      </c>
    </row>
    <row r="160" spans="1:18">
      <c r="A160" s="2">
        <v>46198</v>
      </c>
      <c r="B160" s="3" t="s">
        <v>18</v>
      </c>
      <c r="C160" s="3" t="s">
        <v>3</v>
      </c>
      <c r="D160" s="3">
        <v>6</v>
      </c>
      <c r="E160" s="3"/>
      <c r="F160" s="4">
        <v>195</v>
      </c>
      <c r="G160" s="4">
        <v>4.0999999999999996</v>
      </c>
      <c r="H160" s="4">
        <v>3.85</v>
      </c>
      <c r="I160" s="4">
        <v>350.50000000000051</v>
      </c>
      <c r="J160" s="4">
        <v>337.9</v>
      </c>
      <c r="K160" s="4"/>
      <c r="L160" s="4">
        <v>0</v>
      </c>
      <c r="M160" s="5"/>
      <c r="N160" s="5"/>
      <c r="O160" s="3"/>
      <c r="P160" s="4">
        <f t="shared" si="4"/>
        <v>-0.24999999999999956</v>
      </c>
      <c r="Q160" s="6">
        <f t="shared" si="5"/>
        <v>0.9390243902439025</v>
      </c>
      <c r="R160" s="3" t="s">
        <v>39</v>
      </c>
    </row>
    <row r="161" spans="1:18">
      <c r="A161" s="2">
        <v>46198</v>
      </c>
      <c r="B161" s="3" t="s">
        <v>18</v>
      </c>
      <c r="C161" s="3" t="s">
        <v>3</v>
      </c>
      <c r="D161" s="3">
        <v>7</v>
      </c>
      <c r="E161" s="3"/>
      <c r="F161" s="4">
        <v>195</v>
      </c>
      <c r="G161" s="4">
        <v>4.0999999999999996</v>
      </c>
      <c r="H161" s="4">
        <v>3.92</v>
      </c>
      <c r="I161" s="4">
        <v>348.50000000000051</v>
      </c>
      <c r="J161" s="4">
        <v>297.60000000000002</v>
      </c>
      <c r="K161" s="4"/>
      <c r="L161" s="4">
        <v>0</v>
      </c>
      <c r="M161" s="5"/>
      <c r="N161" s="5"/>
      <c r="O161" s="3"/>
      <c r="P161" s="4">
        <f t="shared" si="4"/>
        <v>-0.17999999999999972</v>
      </c>
      <c r="Q161" s="6">
        <f t="shared" si="5"/>
        <v>0.95609756097560983</v>
      </c>
      <c r="R161" s="3" t="s">
        <v>39</v>
      </c>
    </row>
    <row r="162" spans="1:18" hidden="1">
      <c r="A162" s="2">
        <v>46199</v>
      </c>
      <c r="B162" s="3" t="s">
        <v>18</v>
      </c>
      <c r="C162" s="3" t="s">
        <v>19</v>
      </c>
      <c r="D162" s="3"/>
      <c r="E162" s="3"/>
      <c r="F162" s="4">
        <v>1240</v>
      </c>
      <c r="G162" s="4">
        <v>19.96</v>
      </c>
      <c r="H162" s="4">
        <v>22.97</v>
      </c>
      <c r="I162" s="4">
        <v>2027.9600000000009</v>
      </c>
      <c r="J162" s="4">
        <v>1592.86</v>
      </c>
      <c r="K162" s="4">
        <v>10</v>
      </c>
      <c r="L162" s="4">
        <v>0</v>
      </c>
      <c r="M162" s="5"/>
      <c r="N162" s="5"/>
      <c r="O162" s="3"/>
      <c r="P162" s="4">
        <f t="shared" si="4"/>
        <v>3.009999999999998</v>
      </c>
      <c r="Q162" s="6">
        <f t="shared" si="5"/>
        <v>1.1508016032064128</v>
      </c>
      <c r="R162" s="3" t="s">
        <v>40</v>
      </c>
    </row>
    <row r="163" spans="1:18">
      <c r="A163" s="2">
        <v>46199</v>
      </c>
      <c r="B163" s="3" t="s">
        <v>18</v>
      </c>
      <c r="C163" s="3" t="s">
        <v>3</v>
      </c>
      <c r="D163" s="3">
        <v>1</v>
      </c>
      <c r="E163" s="3"/>
      <c r="F163" s="4">
        <v>110</v>
      </c>
      <c r="G163" s="4">
        <v>1.93</v>
      </c>
      <c r="H163" s="4">
        <v>1.63</v>
      </c>
      <c r="I163" s="4">
        <v>169.18000000000018</v>
      </c>
      <c r="J163" s="4">
        <v>124.68</v>
      </c>
      <c r="K163" s="4"/>
      <c r="L163" s="4">
        <v>0</v>
      </c>
      <c r="M163" s="5"/>
      <c r="N163" s="5"/>
      <c r="O163" s="3"/>
      <c r="P163" s="4">
        <f t="shared" si="4"/>
        <v>-0.30000000000000004</v>
      </c>
      <c r="Q163" s="6">
        <f t="shared" si="5"/>
        <v>0.84455958549222798</v>
      </c>
      <c r="R163" s="3" t="s">
        <v>40</v>
      </c>
    </row>
    <row r="164" spans="1:18">
      <c r="A164" s="2">
        <v>46199</v>
      </c>
      <c r="B164" s="3" t="s">
        <v>18</v>
      </c>
      <c r="C164" s="3" t="s">
        <v>3</v>
      </c>
      <c r="D164" s="3">
        <v>2</v>
      </c>
      <c r="E164" s="3"/>
      <c r="F164" s="4">
        <v>110</v>
      </c>
      <c r="G164" s="4">
        <v>1.93</v>
      </c>
      <c r="H164" s="4">
        <v>1.76</v>
      </c>
      <c r="I164" s="4">
        <v>169.18000000000018</v>
      </c>
      <c r="J164" s="4">
        <v>129.63</v>
      </c>
      <c r="K164" s="4"/>
      <c r="L164" s="4">
        <v>0</v>
      </c>
      <c r="M164" s="5"/>
      <c r="N164" s="5"/>
      <c r="O164" s="3"/>
      <c r="P164" s="4">
        <f t="shared" si="4"/>
        <v>-0.16999999999999993</v>
      </c>
      <c r="Q164" s="6">
        <f t="shared" si="5"/>
        <v>0.91191709844559588</v>
      </c>
      <c r="R164" s="3" t="s">
        <v>40</v>
      </c>
    </row>
    <row r="165" spans="1:18">
      <c r="A165" s="2">
        <v>46199</v>
      </c>
      <c r="B165" s="3" t="s">
        <v>18</v>
      </c>
      <c r="C165" s="3" t="s">
        <v>3</v>
      </c>
      <c r="D165" s="3">
        <v>3</v>
      </c>
      <c r="E165" s="3"/>
      <c r="F165" s="4">
        <v>210</v>
      </c>
      <c r="G165" s="4">
        <v>3.9</v>
      </c>
      <c r="H165" s="4">
        <v>3.82</v>
      </c>
      <c r="I165" s="4">
        <v>342.39999999999952</v>
      </c>
      <c r="J165" s="4">
        <v>282.01</v>
      </c>
      <c r="K165" s="4"/>
      <c r="L165" s="4">
        <v>0</v>
      </c>
      <c r="M165" s="5"/>
      <c r="N165" s="5"/>
      <c r="O165" s="3"/>
      <c r="P165" s="4">
        <f t="shared" si="4"/>
        <v>-8.0000000000000071E-2</v>
      </c>
      <c r="Q165" s="6">
        <f t="shared" si="5"/>
        <v>0.97948717948717945</v>
      </c>
      <c r="R165" s="3" t="s">
        <v>40</v>
      </c>
    </row>
    <row r="166" spans="1:18">
      <c r="A166" s="2">
        <v>46199</v>
      </c>
      <c r="B166" s="3" t="s">
        <v>18</v>
      </c>
      <c r="C166" s="3" t="s">
        <v>3</v>
      </c>
      <c r="D166" s="3">
        <v>4</v>
      </c>
      <c r="E166" s="3"/>
      <c r="F166" s="4">
        <v>210</v>
      </c>
      <c r="G166" s="4">
        <v>0</v>
      </c>
      <c r="H166" s="4">
        <v>3.63</v>
      </c>
      <c r="I166" s="4">
        <v>294</v>
      </c>
      <c r="J166" s="4">
        <v>135.6</v>
      </c>
      <c r="K166" s="4"/>
      <c r="L166" s="4">
        <v>0</v>
      </c>
      <c r="M166" s="5"/>
      <c r="N166" s="5"/>
      <c r="O166" s="3"/>
      <c r="P166" s="4">
        <f t="shared" si="4"/>
        <v>3.63</v>
      </c>
      <c r="Q166" s="6" t="str">
        <f t="shared" si="5"/>
        <v/>
      </c>
      <c r="R166" s="3" t="s">
        <v>40</v>
      </c>
    </row>
    <row r="167" spans="1:18">
      <c r="A167" s="2">
        <v>46199</v>
      </c>
      <c r="B167" s="3" t="s">
        <v>18</v>
      </c>
      <c r="C167" s="3" t="s">
        <v>3</v>
      </c>
      <c r="D167" s="3">
        <v>5</v>
      </c>
      <c r="E167" s="3"/>
      <c r="F167" s="4">
        <v>210</v>
      </c>
      <c r="G167" s="4">
        <v>4</v>
      </c>
      <c r="H167" s="4">
        <v>4.13</v>
      </c>
      <c r="I167" s="4">
        <v>346</v>
      </c>
      <c r="J167" s="4">
        <v>277.44</v>
      </c>
      <c r="K167" s="4"/>
      <c r="L167" s="4">
        <v>0</v>
      </c>
      <c r="M167" s="5"/>
      <c r="N167" s="5"/>
      <c r="O167" s="3"/>
      <c r="P167" s="4">
        <f t="shared" si="4"/>
        <v>0.12999999999999989</v>
      </c>
      <c r="Q167" s="6">
        <f t="shared" si="5"/>
        <v>1.0325</v>
      </c>
      <c r="R167" s="3" t="s">
        <v>40</v>
      </c>
    </row>
    <row r="168" spans="1:18">
      <c r="A168" s="2">
        <v>46199</v>
      </c>
      <c r="B168" s="3" t="s">
        <v>18</v>
      </c>
      <c r="C168" s="3" t="s">
        <v>3</v>
      </c>
      <c r="D168" s="3">
        <v>6</v>
      </c>
      <c r="E168" s="3"/>
      <c r="F168" s="4">
        <v>195</v>
      </c>
      <c r="G168" s="4">
        <v>4.0999999999999996</v>
      </c>
      <c r="H168" s="4">
        <v>3.84</v>
      </c>
      <c r="I168" s="4">
        <v>354.60000000000053</v>
      </c>
      <c r="J168" s="4">
        <v>341.74</v>
      </c>
      <c r="K168" s="4"/>
      <c r="L168" s="4">
        <v>0</v>
      </c>
      <c r="M168" s="5"/>
      <c r="N168" s="5"/>
      <c r="O168" s="3"/>
      <c r="P168" s="4">
        <f t="shared" si="4"/>
        <v>-0.25999999999999979</v>
      </c>
      <c r="Q168" s="6">
        <f t="shared" si="5"/>
        <v>0.93658536585365859</v>
      </c>
      <c r="R168" s="3" t="s">
        <v>40</v>
      </c>
    </row>
    <row r="169" spans="1:18">
      <c r="A169" s="2">
        <v>46199</v>
      </c>
      <c r="B169" s="3" t="s">
        <v>18</v>
      </c>
      <c r="C169" s="3" t="s">
        <v>3</v>
      </c>
      <c r="D169" s="3">
        <v>7</v>
      </c>
      <c r="E169" s="3"/>
      <c r="F169" s="4">
        <v>195</v>
      </c>
      <c r="G169" s="4">
        <v>4.0999999999999996</v>
      </c>
      <c r="H169" s="4">
        <v>4.16</v>
      </c>
      <c r="I169" s="4">
        <v>352.60000000000053</v>
      </c>
      <c r="J169" s="4">
        <v>301.76</v>
      </c>
      <c r="K169" s="4"/>
      <c r="L169" s="4">
        <v>0</v>
      </c>
      <c r="M169" s="5"/>
      <c r="N169" s="5"/>
      <c r="O169" s="3"/>
      <c r="P169" s="4">
        <f t="shared" si="4"/>
        <v>6.0000000000000497E-2</v>
      </c>
      <c r="Q169" s="6">
        <f t="shared" si="5"/>
        <v>1.0146341463414634</v>
      </c>
      <c r="R169" s="3" t="s">
        <v>40</v>
      </c>
    </row>
    <row r="170" spans="1:18" hidden="1">
      <c r="A170" s="2">
        <v>46200</v>
      </c>
      <c r="B170" s="3" t="s">
        <v>18</v>
      </c>
      <c r="C170" s="3" t="s">
        <v>19</v>
      </c>
      <c r="D170" s="3"/>
      <c r="E170" s="3"/>
      <c r="F170" s="4">
        <v>1240</v>
      </c>
      <c r="G170" s="4">
        <v>19.96</v>
      </c>
      <c r="H170" s="4">
        <v>23.480000000000004</v>
      </c>
      <c r="I170" s="4">
        <v>2047.920000000001</v>
      </c>
      <c r="J170" s="4">
        <v>1616.34</v>
      </c>
      <c r="K170" s="4">
        <v>10</v>
      </c>
      <c r="L170" s="4">
        <v>0</v>
      </c>
      <c r="M170" s="5"/>
      <c r="N170" s="5"/>
      <c r="O170" s="3"/>
      <c r="P170" s="4">
        <f t="shared" si="4"/>
        <v>3.5200000000000031</v>
      </c>
      <c r="Q170" s="6">
        <f t="shared" si="5"/>
        <v>1.1763527054108218</v>
      </c>
      <c r="R170" s="3" t="s">
        <v>41</v>
      </c>
    </row>
    <row r="171" spans="1:18">
      <c r="A171" s="2">
        <v>46200</v>
      </c>
      <c r="B171" s="3" t="s">
        <v>18</v>
      </c>
      <c r="C171" s="3" t="s">
        <v>3</v>
      </c>
      <c r="D171" s="3">
        <v>1</v>
      </c>
      <c r="E171" s="3"/>
      <c r="F171" s="4">
        <v>110</v>
      </c>
      <c r="G171" s="4">
        <v>1.93</v>
      </c>
      <c r="H171" s="4">
        <v>1.69</v>
      </c>
      <c r="I171" s="4">
        <v>171.11000000000018</v>
      </c>
      <c r="J171" s="4">
        <v>126.37</v>
      </c>
      <c r="K171" s="4"/>
      <c r="L171" s="4">
        <v>0</v>
      </c>
      <c r="M171" s="5"/>
      <c r="N171" s="5"/>
      <c r="O171" s="3"/>
      <c r="P171" s="4">
        <f t="shared" si="4"/>
        <v>-0.24</v>
      </c>
      <c r="Q171" s="6">
        <f t="shared" si="5"/>
        <v>0.87564766839378239</v>
      </c>
      <c r="R171" s="3" t="s">
        <v>41</v>
      </c>
    </row>
    <row r="172" spans="1:18">
      <c r="A172" s="2">
        <v>46200</v>
      </c>
      <c r="B172" s="3" t="s">
        <v>18</v>
      </c>
      <c r="C172" s="3" t="s">
        <v>3</v>
      </c>
      <c r="D172" s="3">
        <v>2</v>
      </c>
      <c r="E172" s="3"/>
      <c r="F172" s="4">
        <v>110</v>
      </c>
      <c r="G172" s="4">
        <v>1.93</v>
      </c>
      <c r="H172" s="4">
        <v>1.75</v>
      </c>
      <c r="I172" s="4">
        <v>171.11000000000018</v>
      </c>
      <c r="J172" s="4">
        <v>131.38</v>
      </c>
      <c r="K172" s="4"/>
      <c r="L172" s="4">
        <v>0</v>
      </c>
      <c r="M172" s="5"/>
      <c r="N172" s="5"/>
      <c r="O172" s="3"/>
      <c r="P172" s="4">
        <f t="shared" si="4"/>
        <v>-0.17999999999999994</v>
      </c>
      <c r="Q172" s="6">
        <f t="shared" si="5"/>
        <v>0.90673575129533679</v>
      </c>
      <c r="R172" s="3" t="s">
        <v>41</v>
      </c>
    </row>
    <row r="173" spans="1:18">
      <c r="A173" s="2">
        <v>46200</v>
      </c>
      <c r="B173" s="3" t="s">
        <v>18</v>
      </c>
      <c r="C173" s="3" t="s">
        <v>3</v>
      </c>
      <c r="D173" s="3">
        <v>3</v>
      </c>
      <c r="E173" s="3"/>
      <c r="F173" s="4">
        <v>210</v>
      </c>
      <c r="G173" s="4">
        <v>3.9</v>
      </c>
      <c r="H173" s="4">
        <v>3.97</v>
      </c>
      <c r="I173" s="4">
        <v>346.2999999999995</v>
      </c>
      <c r="J173" s="4">
        <v>285.98</v>
      </c>
      <c r="K173" s="4"/>
      <c r="L173" s="4">
        <v>0</v>
      </c>
      <c r="M173" s="5"/>
      <c r="N173" s="5"/>
      <c r="O173" s="3"/>
      <c r="P173" s="4">
        <f t="shared" si="4"/>
        <v>7.0000000000000284E-2</v>
      </c>
      <c r="Q173" s="6">
        <f t="shared" si="5"/>
        <v>1.0179487179487181</v>
      </c>
      <c r="R173" s="3" t="s">
        <v>41</v>
      </c>
    </row>
    <row r="174" spans="1:18">
      <c r="A174" s="2">
        <v>46200</v>
      </c>
      <c r="B174" s="3" t="s">
        <v>18</v>
      </c>
      <c r="C174" s="3" t="s">
        <v>3</v>
      </c>
      <c r="D174" s="3">
        <v>4</v>
      </c>
      <c r="E174" s="3"/>
      <c r="F174" s="4">
        <v>210</v>
      </c>
      <c r="G174" s="4">
        <v>0</v>
      </c>
      <c r="H174" s="4">
        <v>3.65</v>
      </c>
      <c r="I174" s="4">
        <v>294</v>
      </c>
      <c r="J174" s="4">
        <v>139.25</v>
      </c>
      <c r="K174" s="4"/>
      <c r="L174" s="4">
        <v>0</v>
      </c>
      <c r="M174" s="5"/>
      <c r="N174" s="5"/>
      <c r="O174" s="3"/>
      <c r="P174" s="4">
        <f t="shared" si="4"/>
        <v>3.65</v>
      </c>
      <c r="Q174" s="6" t="str">
        <f t="shared" si="5"/>
        <v/>
      </c>
      <c r="R174" s="3" t="s">
        <v>41</v>
      </c>
    </row>
    <row r="175" spans="1:18">
      <c r="A175" s="2">
        <v>46200</v>
      </c>
      <c r="B175" s="3" t="s">
        <v>18</v>
      </c>
      <c r="C175" s="3" t="s">
        <v>3</v>
      </c>
      <c r="D175" s="3">
        <v>5</v>
      </c>
      <c r="E175" s="3"/>
      <c r="F175" s="4">
        <v>210</v>
      </c>
      <c r="G175" s="4">
        <v>4</v>
      </c>
      <c r="H175" s="4">
        <v>4.29</v>
      </c>
      <c r="I175" s="4">
        <v>350</v>
      </c>
      <c r="J175" s="4">
        <v>281.73</v>
      </c>
      <c r="K175" s="4"/>
      <c r="L175" s="4">
        <v>0</v>
      </c>
      <c r="M175" s="5"/>
      <c r="N175" s="5"/>
      <c r="O175" s="3"/>
      <c r="P175" s="4">
        <f t="shared" si="4"/>
        <v>0.29000000000000004</v>
      </c>
      <c r="Q175" s="6">
        <f t="shared" si="5"/>
        <v>1.0725</v>
      </c>
      <c r="R175" s="3" t="s">
        <v>41</v>
      </c>
    </row>
    <row r="176" spans="1:18">
      <c r="A176" s="2">
        <v>46200</v>
      </c>
      <c r="B176" s="3" t="s">
        <v>18</v>
      </c>
      <c r="C176" s="3" t="s">
        <v>3</v>
      </c>
      <c r="D176" s="3">
        <v>6</v>
      </c>
      <c r="E176" s="3"/>
      <c r="F176" s="4">
        <v>195</v>
      </c>
      <c r="G176" s="4">
        <v>4.0999999999999996</v>
      </c>
      <c r="H176" s="4">
        <v>3.85</v>
      </c>
      <c r="I176" s="4">
        <v>358.70000000000056</v>
      </c>
      <c r="J176" s="4">
        <v>345.59</v>
      </c>
      <c r="K176" s="4"/>
      <c r="L176" s="4">
        <v>0</v>
      </c>
      <c r="M176" s="5"/>
      <c r="N176" s="5"/>
      <c r="O176" s="3"/>
      <c r="P176" s="4">
        <f t="shared" si="4"/>
        <v>-0.24999999999999956</v>
      </c>
      <c r="Q176" s="6">
        <f t="shared" si="5"/>
        <v>0.9390243902439025</v>
      </c>
      <c r="R176" s="3" t="s">
        <v>41</v>
      </c>
    </row>
    <row r="177" spans="1:18">
      <c r="A177" s="2">
        <v>46200</v>
      </c>
      <c r="B177" s="3" t="s">
        <v>18</v>
      </c>
      <c r="C177" s="3" t="s">
        <v>3</v>
      </c>
      <c r="D177" s="3">
        <v>7</v>
      </c>
      <c r="E177" s="3"/>
      <c r="F177" s="4">
        <v>195</v>
      </c>
      <c r="G177" s="4">
        <v>4.0999999999999996</v>
      </c>
      <c r="H177" s="4">
        <v>4.28</v>
      </c>
      <c r="I177" s="4">
        <v>356.70000000000056</v>
      </c>
      <c r="J177" s="4">
        <v>306.04000000000002</v>
      </c>
      <c r="K177" s="4"/>
      <c r="L177" s="4">
        <v>0</v>
      </c>
      <c r="M177" s="5"/>
      <c r="N177" s="5"/>
      <c r="O177" s="3"/>
      <c r="P177" s="4">
        <f t="shared" si="4"/>
        <v>0.1800000000000006</v>
      </c>
      <c r="Q177" s="6">
        <f t="shared" si="5"/>
        <v>1.0439024390243905</v>
      </c>
      <c r="R177" s="3" t="s">
        <v>41</v>
      </c>
    </row>
    <row r="178" spans="1:18" hidden="1">
      <c r="A178" s="2">
        <v>46201</v>
      </c>
      <c r="B178" s="3" t="s">
        <v>18</v>
      </c>
      <c r="C178" s="3" t="s">
        <v>19</v>
      </c>
      <c r="D178" s="3"/>
      <c r="E178" s="3"/>
      <c r="F178" s="4">
        <v>1240</v>
      </c>
      <c r="G178" s="4">
        <v>19.96</v>
      </c>
      <c r="H178" s="4">
        <v>23.29</v>
      </c>
      <c r="I178" s="4">
        <v>2067.880000000001</v>
      </c>
      <c r="J178" s="4">
        <v>1639.6299999999999</v>
      </c>
      <c r="K178" s="4">
        <v>9</v>
      </c>
      <c r="L178" s="4">
        <v>0</v>
      </c>
      <c r="M178" s="5"/>
      <c r="N178" s="5"/>
      <c r="O178" s="3"/>
      <c r="P178" s="4">
        <f t="shared" si="4"/>
        <v>3.3299999999999983</v>
      </c>
      <c r="Q178" s="6">
        <f t="shared" si="5"/>
        <v>1.1668336673346693</v>
      </c>
      <c r="R178" s="3" t="s">
        <v>42</v>
      </c>
    </row>
    <row r="179" spans="1:18">
      <c r="A179" s="2">
        <v>46201</v>
      </c>
      <c r="B179" s="3" t="s">
        <v>18</v>
      </c>
      <c r="C179" s="3" t="s">
        <v>3</v>
      </c>
      <c r="D179" s="3">
        <v>1</v>
      </c>
      <c r="E179" s="3"/>
      <c r="F179" s="4">
        <v>110</v>
      </c>
      <c r="G179" s="4">
        <v>1.93</v>
      </c>
      <c r="H179" s="4">
        <v>1.69</v>
      </c>
      <c r="I179" s="4">
        <v>173.04000000000019</v>
      </c>
      <c r="J179" s="4">
        <v>128.06</v>
      </c>
      <c r="K179" s="4"/>
      <c r="L179" s="4">
        <v>0</v>
      </c>
      <c r="M179" s="5"/>
      <c r="N179" s="5"/>
      <c r="O179" s="3"/>
      <c r="P179" s="4">
        <f t="shared" si="4"/>
        <v>-0.24</v>
      </c>
      <c r="Q179" s="6">
        <f t="shared" si="5"/>
        <v>0.87564766839378239</v>
      </c>
      <c r="R179" s="3" t="s">
        <v>42</v>
      </c>
    </row>
    <row r="180" spans="1:18">
      <c r="A180" s="2">
        <v>46201</v>
      </c>
      <c r="B180" s="3" t="s">
        <v>18</v>
      </c>
      <c r="C180" s="3" t="s">
        <v>3</v>
      </c>
      <c r="D180" s="3">
        <v>2</v>
      </c>
      <c r="E180" s="3"/>
      <c r="F180" s="4">
        <v>110</v>
      </c>
      <c r="G180" s="4">
        <v>1.93</v>
      </c>
      <c r="H180" s="4">
        <v>1.75</v>
      </c>
      <c r="I180" s="4">
        <v>173.04000000000019</v>
      </c>
      <c r="J180" s="4">
        <v>133.13</v>
      </c>
      <c r="K180" s="4"/>
      <c r="L180" s="4">
        <v>0</v>
      </c>
      <c r="M180" s="5"/>
      <c r="N180" s="5"/>
      <c r="O180" s="3"/>
      <c r="P180" s="4">
        <f t="shared" si="4"/>
        <v>-0.17999999999999994</v>
      </c>
      <c r="Q180" s="6">
        <f t="shared" si="5"/>
        <v>0.90673575129533679</v>
      </c>
      <c r="R180" s="3" t="s">
        <v>42</v>
      </c>
    </row>
    <row r="181" spans="1:18">
      <c r="A181" s="2">
        <v>46201</v>
      </c>
      <c r="B181" s="3" t="s">
        <v>18</v>
      </c>
      <c r="C181" s="3" t="s">
        <v>3</v>
      </c>
      <c r="D181" s="3">
        <v>3</v>
      </c>
      <c r="E181" s="3"/>
      <c r="F181" s="4">
        <v>210</v>
      </c>
      <c r="G181" s="4">
        <v>3.9</v>
      </c>
      <c r="H181" s="4">
        <v>3.9</v>
      </c>
      <c r="I181" s="4">
        <v>350.19999999999948</v>
      </c>
      <c r="J181" s="4">
        <v>289.88</v>
      </c>
      <c r="K181" s="4"/>
      <c r="L181" s="4">
        <v>0</v>
      </c>
      <c r="M181" s="5"/>
      <c r="N181" s="5"/>
      <c r="O181" s="3"/>
      <c r="P181" s="4">
        <f t="shared" si="4"/>
        <v>0</v>
      </c>
      <c r="Q181" s="6">
        <f t="shared" si="5"/>
        <v>1</v>
      </c>
      <c r="R181" s="3" t="s">
        <v>42</v>
      </c>
    </row>
    <row r="182" spans="1:18">
      <c r="A182" s="2">
        <v>46201</v>
      </c>
      <c r="B182" s="3" t="s">
        <v>18</v>
      </c>
      <c r="C182" s="3" t="s">
        <v>3</v>
      </c>
      <c r="D182" s="3">
        <v>4</v>
      </c>
      <c r="E182" s="3"/>
      <c r="F182" s="4">
        <v>210</v>
      </c>
      <c r="G182" s="4">
        <v>0</v>
      </c>
      <c r="H182" s="4">
        <v>3.62</v>
      </c>
      <c r="I182" s="4">
        <v>294</v>
      </c>
      <c r="J182" s="4">
        <v>142.87</v>
      </c>
      <c r="K182" s="4"/>
      <c r="L182" s="4">
        <v>0</v>
      </c>
      <c r="M182" s="5"/>
      <c r="N182" s="5"/>
      <c r="O182" s="3"/>
      <c r="P182" s="4">
        <f t="shared" si="4"/>
        <v>3.62</v>
      </c>
      <c r="Q182" s="6" t="str">
        <f t="shared" si="5"/>
        <v/>
      </c>
      <c r="R182" s="3" t="s">
        <v>42</v>
      </c>
    </row>
    <row r="183" spans="1:18">
      <c r="A183" s="2">
        <v>46201</v>
      </c>
      <c r="B183" s="3" t="s">
        <v>18</v>
      </c>
      <c r="C183" s="3" t="s">
        <v>3</v>
      </c>
      <c r="D183" s="3">
        <v>5</v>
      </c>
      <c r="E183" s="3"/>
      <c r="F183" s="4">
        <v>210</v>
      </c>
      <c r="G183" s="4">
        <v>4</v>
      </c>
      <c r="H183" s="4">
        <v>4.2300000000000004</v>
      </c>
      <c r="I183" s="4">
        <v>354</v>
      </c>
      <c r="J183" s="4">
        <v>285.95999999999998</v>
      </c>
      <c r="K183" s="4"/>
      <c r="L183" s="4">
        <v>0</v>
      </c>
      <c r="M183" s="5"/>
      <c r="N183" s="5"/>
      <c r="O183" s="3"/>
      <c r="P183" s="4">
        <f t="shared" si="4"/>
        <v>0.23000000000000043</v>
      </c>
      <c r="Q183" s="6">
        <f t="shared" si="5"/>
        <v>1.0575000000000001</v>
      </c>
      <c r="R183" s="3" t="s">
        <v>42</v>
      </c>
    </row>
    <row r="184" spans="1:18">
      <c r="A184" s="2">
        <v>46201</v>
      </c>
      <c r="B184" s="3" t="s">
        <v>18</v>
      </c>
      <c r="C184" s="3" t="s">
        <v>3</v>
      </c>
      <c r="D184" s="3">
        <v>6</v>
      </c>
      <c r="E184" s="3"/>
      <c r="F184" s="4">
        <v>195</v>
      </c>
      <c r="G184" s="4">
        <v>4.0999999999999996</v>
      </c>
      <c r="H184" s="4">
        <v>3.84</v>
      </c>
      <c r="I184" s="4">
        <v>362.80000000000058</v>
      </c>
      <c r="J184" s="4">
        <v>349.43</v>
      </c>
      <c r="K184" s="4"/>
      <c r="L184" s="4">
        <v>0</v>
      </c>
      <c r="M184" s="5"/>
      <c r="N184" s="5"/>
      <c r="O184" s="3"/>
      <c r="P184" s="4">
        <f t="shared" si="4"/>
        <v>-0.25999999999999979</v>
      </c>
      <c r="Q184" s="6">
        <f t="shared" si="5"/>
        <v>0.93658536585365859</v>
      </c>
      <c r="R184" s="3" t="s">
        <v>42</v>
      </c>
    </row>
    <row r="185" spans="1:18">
      <c r="A185" s="2">
        <v>46201</v>
      </c>
      <c r="B185" s="3" t="s">
        <v>18</v>
      </c>
      <c r="C185" s="3" t="s">
        <v>3</v>
      </c>
      <c r="D185" s="3">
        <v>7</v>
      </c>
      <c r="E185" s="3"/>
      <c r="F185" s="4">
        <v>195</v>
      </c>
      <c r="G185" s="4">
        <v>4.0999999999999996</v>
      </c>
      <c r="H185" s="4">
        <v>4.26</v>
      </c>
      <c r="I185" s="4">
        <v>360.80000000000058</v>
      </c>
      <c r="J185" s="4">
        <v>310.3</v>
      </c>
      <c r="K185" s="4"/>
      <c r="L185" s="4">
        <v>0</v>
      </c>
      <c r="M185" s="5"/>
      <c r="N185" s="5"/>
      <c r="O185" s="3"/>
      <c r="P185" s="4">
        <f t="shared" si="4"/>
        <v>0.16000000000000014</v>
      </c>
      <c r="Q185" s="6">
        <f t="shared" si="5"/>
        <v>1.0390243902439025</v>
      </c>
      <c r="R185" s="3" t="s">
        <v>42</v>
      </c>
    </row>
    <row r="186" spans="1:18" hidden="1">
      <c r="A186" s="2">
        <v>46202</v>
      </c>
      <c r="B186" s="3" t="s">
        <v>18</v>
      </c>
      <c r="C186" s="3" t="s">
        <v>19</v>
      </c>
      <c r="D186" s="3"/>
      <c r="E186" s="3"/>
      <c r="F186" s="4">
        <v>1240</v>
      </c>
      <c r="G186" s="4">
        <v>19.96</v>
      </c>
      <c r="H186" s="4">
        <v>23.300000000000004</v>
      </c>
      <c r="I186" s="4">
        <v>2087.8400000000011</v>
      </c>
      <c r="J186" s="4">
        <v>1662.9299999999998</v>
      </c>
      <c r="K186" s="4">
        <v>9</v>
      </c>
      <c r="L186" s="4">
        <v>0</v>
      </c>
      <c r="M186" s="5"/>
      <c r="N186" s="5"/>
      <c r="O186" s="3"/>
      <c r="P186" s="4">
        <f t="shared" si="4"/>
        <v>3.3400000000000034</v>
      </c>
      <c r="Q186" s="6">
        <f t="shared" si="5"/>
        <v>1.1673346693386775</v>
      </c>
      <c r="R186" s="3" t="s">
        <v>43</v>
      </c>
    </row>
    <row r="187" spans="1:18">
      <c r="A187" s="2">
        <v>46202</v>
      </c>
      <c r="B187" s="3" t="s">
        <v>18</v>
      </c>
      <c r="C187" s="3" t="s">
        <v>3</v>
      </c>
      <c r="D187" s="3">
        <v>1</v>
      </c>
      <c r="E187" s="3"/>
      <c r="F187" s="4">
        <v>110</v>
      </c>
      <c r="G187" s="4">
        <v>1.93</v>
      </c>
      <c r="H187" s="4">
        <v>1.72</v>
      </c>
      <c r="I187" s="4">
        <v>174.9700000000002</v>
      </c>
      <c r="J187" s="4">
        <v>129.78</v>
      </c>
      <c r="K187" s="4"/>
      <c r="L187" s="4">
        <v>0</v>
      </c>
      <c r="M187" s="5"/>
      <c r="N187" s="5"/>
      <c r="O187" s="3"/>
      <c r="P187" s="4">
        <f t="shared" si="4"/>
        <v>-0.20999999999999996</v>
      </c>
      <c r="Q187" s="6">
        <f t="shared" si="5"/>
        <v>0.89119170984455964</v>
      </c>
      <c r="R187" s="3" t="s">
        <v>43</v>
      </c>
    </row>
    <row r="188" spans="1:18">
      <c r="A188" s="2">
        <v>46202</v>
      </c>
      <c r="B188" s="3" t="s">
        <v>18</v>
      </c>
      <c r="C188" s="3" t="s">
        <v>3</v>
      </c>
      <c r="D188" s="3">
        <v>2</v>
      </c>
      <c r="E188" s="3"/>
      <c r="F188" s="4">
        <v>110</v>
      </c>
      <c r="G188" s="4">
        <v>1.93</v>
      </c>
      <c r="H188" s="4">
        <v>1.81</v>
      </c>
      <c r="I188" s="4">
        <v>174.9700000000002</v>
      </c>
      <c r="J188" s="4">
        <v>134.94</v>
      </c>
      <c r="K188" s="4"/>
      <c r="L188" s="4">
        <v>0</v>
      </c>
      <c r="M188" s="5"/>
      <c r="N188" s="5"/>
      <c r="O188" s="3"/>
      <c r="P188" s="4">
        <f t="shared" si="4"/>
        <v>-0.11999999999999988</v>
      </c>
      <c r="Q188" s="6">
        <f t="shared" si="5"/>
        <v>0.9378238341968913</v>
      </c>
      <c r="R188" s="3" t="s">
        <v>43</v>
      </c>
    </row>
    <row r="189" spans="1:18">
      <c r="A189" s="2">
        <v>46202</v>
      </c>
      <c r="B189" s="3" t="s">
        <v>18</v>
      </c>
      <c r="C189" s="3" t="s">
        <v>3</v>
      </c>
      <c r="D189" s="3">
        <v>3</v>
      </c>
      <c r="E189" s="3"/>
      <c r="F189" s="4">
        <v>210</v>
      </c>
      <c r="G189" s="4">
        <v>3.9</v>
      </c>
      <c r="H189" s="4">
        <v>3.85</v>
      </c>
      <c r="I189" s="4">
        <v>354.09999999999945</v>
      </c>
      <c r="J189" s="4">
        <v>293.73</v>
      </c>
      <c r="K189" s="4"/>
      <c r="L189" s="4">
        <v>0</v>
      </c>
      <c r="M189" s="5"/>
      <c r="N189" s="5"/>
      <c r="O189" s="3"/>
      <c r="P189" s="4">
        <f t="shared" si="4"/>
        <v>-4.9999999999999822E-2</v>
      </c>
      <c r="Q189" s="6">
        <f t="shared" si="5"/>
        <v>0.98717948717948723</v>
      </c>
      <c r="R189" s="3" t="s">
        <v>43</v>
      </c>
    </row>
    <row r="190" spans="1:18">
      <c r="A190" s="2">
        <v>46202</v>
      </c>
      <c r="B190" s="3" t="s">
        <v>18</v>
      </c>
      <c r="C190" s="3" t="s">
        <v>3</v>
      </c>
      <c r="D190" s="3">
        <v>4</v>
      </c>
      <c r="E190" s="3"/>
      <c r="F190" s="4">
        <v>210</v>
      </c>
      <c r="G190" s="4">
        <v>0</v>
      </c>
      <c r="H190" s="4">
        <v>3.64</v>
      </c>
      <c r="I190" s="4">
        <v>294</v>
      </c>
      <c r="J190" s="4">
        <v>146.51</v>
      </c>
      <c r="K190" s="4"/>
      <c r="L190" s="4">
        <v>0</v>
      </c>
      <c r="M190" s="5"/>
      <c r="N190" s="5"/>
      <c r="O190" s="3"/>
      <c r="P190" s="4">
        <f t="shared" si="4"/>
        <v>3.64</v>
      </c>
      <c r="Q190" s="6" t="str">
        <f t="shared" si="5"/>
        <v/>
      </c>
      <c r="R190" s="3" t="s">
        <v>43</v>
      </c>
    </row>
    <row r="191" spans="1:18">
      <c r="A191" s="2">
        <v>46202</v>
      </c>
      <c r="B191" s="3" t="s">
        <v>18</v>
      </c>
      <c r="C191" s="3" t="s">
        <v>3</v>
      </c>
      <c r="D191" s="3">
        <v>5</v>
      </c>
      <c r="E191" s="3"/>
      <c r="F191" s="4">
        <v>210</v>
      </c>
      <c r="G191" s="4">
        <v>4</v>
      </c>
      <c r="H191" s="4">
        <v>4.16</v>
      </c>
      <c r="I191" s="4">
        <v>358</v>
      </c>
      <c r="J191" s="4">
        <v>290.12</v>
      </c>
      <c r="K191" s="4"/>
      <c r="L191" s="4">
        <v>0</v>
      </c>
      <c r="M191" s="5"/>
      <c r="N191" s="5"/>
      <c r="O191" s="3"/>
      <c r="P191" s="4">
        <f t="shared" si="4"/>
        <v>0.16000000000000014</v>
      </c>
      <c r="Q191" s="6">
        <f t="shared" si="5"/>
        <v>1.04</v>
      </c>
      <c r="R191" s="3" t="s">
        <v>43</v>
      </c>
    </row>
    <row r="192" spans="1:18">
      <c r="A192" s="2">
        <v>46202</v>
      </c>
      <c r="B192" s="3" t="s">
        <v>18</v>
      </c>
      <c r="C192" s="3" t="s">
        <v>3</v>
      </c>
      <c r="D192" s="3">
        <v>6</v>
      </c>
      <c r="E192" s="3"/>
      <c r="F192" s="4">
        <v>195</v>
      </c>
      <c r="G192" s="4">
        <v>4.0999999999999996</v>
      </c>
      <c r="H192" s="4">
        <v>3.84</v>
      </c>
      <c r="I192" s="4">
        <v>366.9000000000006</v>
      </c>
      <c r="J192" s="4">
        <v>353.27</v>
      </c>
      <c r="K192" s="4"/>
      <c r="L192" s="4">
        <v>0</v>
      </c>
      <c r="M192" s="5"/>
      <c r="N192" s="5"/>
      <c r="O192" s="3"/>
      <c r="P192" s="4">
        <f t="shared" si="4"/>
        <v>-0.25999999999999979</v>
      </c>
      <c r="Q192" s="6">
        <f t="shared" si="5"/>
        <v>0.93658536585365859</v>
      </c>
      <c r="R192" s="3" t="s">
        <v>43</v>
      </c>
    </row>
    <row r="193" spans="1:18">
      <c r="A193" s="2">
        <v>46202</v>
      </c>
      <c r="B193" s="3" t="s">
        <v>18</v>
      </c>
      <c r="C193" s="3" t="s">
        <v>3</v>
      </c>
      <c r="D193" s="3">
        <v>7</v>
      </c>
      <c r="E193" s="3"/>
      <c r="F193" s="4">
        <v>195</v>
      </c>
      <c r="G193" s="4">
        <v>4.0999999999999996</v>
      </c>
      <c r="H193" s="4">
        <v>4.28</v>
      </c>
      <c r="I193" s="4">
        <v>364.9000000000006</v>
      </c>
      <c r="J193" s="4">
        <v>314.58</v>
      </c>
      <c r="K193" s="4"/>
      <c r="L193" s="4">
        <v>0</v>
      </c>
      <c r="M193" s="5"/>
      <c r="N193" s="5"/>
      <c r="O193" s="3"/>
      <c r="P193" s="4">
        <f t="shared" si="4"/>
        <v>0.1800000000000006</v>
      </c>
      <c r="Q193" s="6">
        <f t="shared" si="5"/>
        <v>1.0439024390243905</v>
      </c>
      <c r="R193" s="3" t="s">
        <v>43</v>
      </c>
    </row>
    <row r="194" spans="1:18" hidden="1">
      <c r="A194" s="2">
        <v>46203</v>
      </c>
      <c r="B194" s="3" t="s">
        <v>18</v>
      </c>
      <c r="C194" s="3" t="s">
        <v>19</v>
      </c>
      <c r="D194" s="3"/>
      <c r="E194" s="3"/>
      <c r="F194" s="4">
        <v>1240</v>
      </c>
      <c r="G194" s="4">
        <v>19.96</v>
      </c>
      <c r="H194" s="4">
        <v>22.05</v>
      </c>
      <c r="I194" s="4">
        <v>2108</v>
      </c>
      <c r="J194" s="4">
        <v>1684.98</v>
      </c>
      <c r="K194" s="4">
        <v>9</v>
      </c>
      <c r="L194" s="4">
        <v>195</v>
      </c>
      <c r="M194" s="5"/>
      <c r="N194" s="5"/>
      <c r="O194" s="3"/>
      <c r="P194" s="4">
        <f t="shared" ref="P194:P257" si="6">IF(OR(G194="",H194=""),"",H194-G194)</f>
        <v>2.09</v>
      </c>
      <c r="Q194" s="6">
        <f t="shared" ref="Q194:Q257" si="7">IF(OR(G194="",G194=0,H194=""),"",H194/G194)</f>
        <v>1.1047094188376754</v>
      </c>
      <c r="R194" s="3" t="s">
        <v>44</v>
      </c>
    </row>
    <row r="195" spans="1:18">
      <c r="A195" s="2">
        <v>46203</v>
      </c>
      <c r="B195" s="3" t="s">
        <v>18</v>
      </c>
      <c r="C195" s="3" t="s">
        <v>3</v>
      </c>
      <c r="D195" s="3">
        <v>1</v>
      </c>
      <c r="E195" s="3"/>
      <c r="F195" s="4">
        <v>110</v>
      </c>
      <c r="G195" s="4">
        <v>1.93</v>
      </c>
      <c r="H195" s="4">
        <v>1.69</v>
      </c>
      <c r="I195" s="4">
        <v>177</v>
      </c>
      <c r="J195" s="4">
        <v>131.47</v>
      </c>
      <c r="K195" s="4"/>
      <c r="L195" s="4">
        <v>0</v>
      </c>
      <c r="M195" s="5"/>
      <c r="N195" s="5"/>
      <c r="O195" s="3"/>
      <c r="P195" s="4">
        <f t="shared" si="6"/>
        <v>-0.24</v>
      </c>
      <c r="Q195" s="6">
        <f t="shared" si="7"/>
        <v>0.87564766839378239</v>
      </c>
      <c r="R195" s="3" t="s">
        <v>44</v>
      </c>
    </row>
    <row r="196" spans="1:18">
      <c r="A196" s="2">
        <v>46203</v>
      </c>
      <c r="B196" s="3" t="s">
        <v>18</v>
      </c>
      <c r="C196" s="3" t="s">
        <v>3</v>
      </c>
      <c r="D196" s="3">
        <v>2</v>
      </c>
      <c r="E196" s="3"/>
      <c r="F196" s="4">
        <v>110</v>
      </c>
      <c r="G196" s="4">
        <v>1.93</v>
      </c>
      <c r="H196" s="4">
        <v>1.72</v>
      </c>
      <c r="I196" s="4">
        <v>177</v>
      </c>
      <c r="J196" s="4">
        <v>136.66</v>
      </c>
      <c r="K196" s="4"/>
      <c r="L196" s="4">
        <v>0</v>
      </c>
      <c r="M196" s="5"/>
      <c r="N196" s="5"/>
      <c r="O196" s="3"/>
      <c r="P196" s="4">
        <f t="shared" si="6"/>
        <v>-0.20999999999999996</v>
      </c>
      <c r="Q196" s="6">
        <f t="shared" si="7"/>
        <v>0.89119170984455964</v>
      </c>
      <c r="R196" s="3" t="s">
        <v>44</v>
      </c>
    </row>
    <row r="197" spans="1:18">
      <c r="A197" s="2">
        <v>46203</v>
      </c>
      <c r="B197" s="3" t="s">
        <v>18</v>
      </c>
      <c r="C197" s="3" t="s">
        <v>3</v>
      </c>
      <c r="D197" s="3">
        <v>3</v>
      </c>
      <c r="E197" s="3"/>
      <c r="F197" s="4">
        <v>210</v>
      </c>
      <c r="G197" s="4">
        <v>3.9</v>
      </c>
      <c r="H197" s="4">
        <v>3.79</v>
      </c>
      <c r="I197" s="4">
        <v>358</v>
      </c>
      <c r="J197" s="4">
        <v>297.52</v>
      </c>
      <c r="K197" s="4"/>
      <c r="L197" s="4">
        <v>0</v>
      </c>
      <c r="M197" s="5"/>
      <c r="N197" s="5"/>
      <c r="O197" s="3"/>
      <c r="P197" s="4">
        <f t="shared" si="6"/>
        <v>-0.10999999999999988</v>
      </c>
      <c r="Q197" s="6">
        <f t="shared" si="7"/>
        <v>0.97179487179487178</v>
      </c>
      <c r="R197" s="3" t="s">
        <v>44</v>
      </c>
    </row>
    <row r="198" spans="1:18">
      <c r="A198" s="2">
        <v>46203</v>
      </c>
      <c r="B198" s="3" t="s">
        <v>18</v>
      </c>
      <c r="C198" s="3" t="s">
        <v>3</v>
      </c>
      <c r="D198" s="3">
        <v>4</v>
      </c>
      <c r="E198" s="3"/>
      <c r="F198" s="4">
        <v>210</v>
      </c>
      <c r="G198" s="4">
        <v>0</v>
      </c>
      <c r="H198" s="4">
        <v>3.61</v>
      </c>
      <c r="I198" s="4">
        <v>294</v>
      </c>
      <c r="J198" s="4">
        <v>150.12</v>
      </c>
      <c r="K198" s="4"/>
      <c r="L198" s="4">
        <v>0</v>
      </c>
      <c r="M198" s="5"/>
      <c r="N198" s="5"/>
      <c r="O198" s="3"/>
      <c r="P198" s="4">
        <f t="shared" si="6"/>
        <v>3.61</v>
      </c>
      <c r="Q198" s="6" t="str">
        <f t="shared" si="7"/>
        <v/>
      </c>
      <c r="R198" s="3" t="s">
        <v>44</v>
      </c>
    </row>
    <row r="199" spans="1:18">
      <c r="A199" s="2">
        <v>46203</v>
      </c>
      <c r="B199" s="3" t="s">
        <v>18</v>
      </c>
      <c r="C199" s="3" t="s">
        <v>3</v>
      </c>
      <c r="D199" s="3">
        <v>5</v>
      </c>
      <c r="E199" s="3"/>
      <c r="F199" s="4">
        <v>210</v>
      </c>
      <c r="G199" s="4">
        <v>4</v>
      </c>
      <c r="H199" s="4">
        <v>4.08</v>
      </c>
      <c r="I199" s="4">
        <v>362</v>
      </c>
      <c r="J199" s="4">
        <v>294.2</v>
      </c>
      <c r="K199" s="4"/>
      <c r="L199" s="4">
        <v>0</v>
      </c>
      <c r="M199" s="5"/>
      <c r="N199" s="5"/>
      <c r="O199" s="3"/>
      <c r="P199" s="4">
        <f t="shared" si="6"/>
        <v>8.0000000000000071E-2</v>
      </c>
      <c r="Q199" s="6">
        <f t="shared" si="7"/>
        <v>1.02</v>
      </c>
      <c r="R199" s="3" t="s">
        <v>44</v>
      </c>
    </row>
    <row r="200" spans="1:18">
      <c r="A200" s="2">
        <v>46203</v>
      </c>
      <c r="B200" s="3" t="s">
        <v>18</v>
      </c>
      <c r="C200" s="3" t="s">
        <v>3</v>
      </c>
      <c r="D200" s="3">
        <v>6</v>
      </c>
      <c r="E200" s="3"/>
      <c r="F200" s="4">
        <v>195</v>
      </c>
      <c r="G200" s="4">
        <v>4.0999999999999996</v>
      </c>
      <c r="H200" s="4">
        <v>3.85</v>
      </c>
      <c r="I200" s="4">
        <v>371</v>
      </c>
      <c r="J200" s="4">
        <v>357.12</v>
      </c>
      <c r="K200" s="4"/>
      <c r="L200" s="4">
        <v>0</v>
      </c>
      <c r="M200" s="5"/>
      <c r="N200" s="5"/>
      <c r="O200" s="3"/>
      <c r="P200" s="4">
        <f t="shared" si="6"/>
        <v>-0.24999999999999956</v>
      </c>
      <c r="Q200" s="6">
        <f t="shared" si="7"/>
        <v>0.9390243902439025</v>
      </c>
      <c r="R200" s="3" t="s">
        <v>44</v>
      </c>
    </row>
    <row r="201" spans="1:18">
      <c r="A201" s="2">
        <v>46203</v>
      </c>
      <c r="B201" s="3" t="s">
        <v>18</v>
      </c>
      <c r="C201" s="3" t="s">
        <v>3</v>
      </c>
      <c r="D201" s="3">
        <v>7</v>
      </c>
      <c r="E201" s="3" t="s">
        <v>45</v>
      </c>
      <c r="F201" s="4">
        <v>195</v>
      </c>
      <c r="G201" s="4">
        <v>4.0999999999999996</v>
      </c>
      <c r="H201" s="4">
        <v>3.31</v>
      </c>
      <c r="I201" s="4">
        <v>369</v>
      </c>
      <c r="J201" s="4">
        <v>317.89</v>
      </c>
      <c r="K201" s="4"/>
      <c r="L201" s="4">
        <v>195</v>
      </c>
      <c r="M201" s="5">
        <v>46203.820138888892</v>
      </c>
      <c r="N201" s="5"/>
      <c r="O201" s="3" t="s">
        <v>46</v>
      </c>
      <c r="P201" s="4">
        <f t="shared" si="6"/>
        <v>-0.78999999999999959</v>
      </c>
      <c r="Q201" s="6">
        <f t="shared" si="7"/>
        <v>0.80731707317073176</v>
      </c>
      <c r="R201" s="3" t="s">
        <v>44</v>
      </c>
    </row>
    <row r="202" spans="1:18" hidden="1">
      <c r="A202" s="2">
        <v>46204</v>
      </c>
      <c r="B202" s="3" t="s">
        <v>18</v>
      </c>
      <c r="C202" s="3" t="s">
        <v>19</v>
      </c>
      <c r="D202" s="3"/>
      <c r="E202" s="3"/>
      <c r="F202" s="4">
        <v>1240</v>
      </c>
      <c r="G202" s="4">
        <v>15.03</v>
      </c>
      <c r="H202" s="4">
        <v>22.099999999999998</v>
      </c>
      <c r="I202" s="4">
        <v>2123.0299999999997</v>
      </c>
      <c r="J202" s="4">
        <v>1708.0400000000002</v>
      </c>
      <c r="K202" s="4">
        <v>9</v>
      </c>
      <c r="L202" s="4">
        <v>195</v>
      </c>
      <c r="M202" s="5"/>
      <c r="N202" s="5"/>
      <c r="O202" s="3"/>
      <c r="P202" s="4">
        <f t="shared" si="6"/>
        <v>7.0699999999999985</v>
      </c>
      <c r="Q202" s="6">
        <f t="shared" si="7"/>
        <v>1.4703925482368596</v>
      </c>
      <c r="R202" s="3" t="s">
        <v>47</v>
      </c>
    </row>
    <row r="203" spans="1:18">
      <c r="A203" s="2">
        <v>46204</v>
      </c>
      <c r="B203" s="3" t="s">
        <v>18</v>
      </c>
      <c r="C203" s="3" t="s">
        <v>3</v>
      </c>
      <c r="D203" s="3">
        <v>1</v>
      </c>
      <c r="E203" s="3"/>
      <c r="F203" s="4">
        <v>110</v>
      </c>
      <c r="G203" s="4">
        <v>1.84</v>
      </c>
      <c r="H203" s="4">
        <v>1.71</v>
      </c>
      <c r="I203" s="4">
        <v>178.84</v>
      </c>
      <c r="J203" s="4">
        <v>133.35</v>
      </c>
      <c r="K203" s="4"/>
      <c r="L203" s="4">
        <v>0</v>
      </c>
      <c r="M203" s="5"/>
      <c r="N203" s="5"/>
      <c r="O203" s="3"/>
      <c r="P203" s="4">
        <f t="shared" si="6"/>
        <v>-0.13000000000000012</v>
      </c>
      <c r="Q203" s="6">
        <f t="shared" si="7"/>
        <v>0.92934782608695643</v>
      </c>
      <c r="R203" s="3" t="s">
        <v>47</v>
      </c>
    </row>
    <row r="204" spans="1:18">
      <c r="A204" s="2">
        <v>46204</v>
      </c>
      <c r="B204" s="3" t="s">
        <v>18</v>
      </c>
      <c r="C204" s="3" t="s">
        <v>3</v>
      </c>
      <c r="D204" s="3">
        <v>2</v>
      </c>
      <c r="E204" s="3"/>
      <c r="F204" s="4">
        <v>110</v>
      </c>
      <c r="G204" s="4">
        <v>1.87</v>
      </c>
      <c r="H204" s="4">
        <v>1.74</v>
      </c>
      <c r="I204" s="4">
        <v>178.87</v>
      </c>
      <c r="J204" s="4">
        <v>138.38</v>
      </c>
      <c r="K204" s="4"/>
      <c r="L204" s="4">
        <v>0</v>
      </c>
      <c r="M204" s="5"/>
      <c r="N204" s="5"/>
      <c r="O204" s="3"/>
      <c r="P204" s="4">
        <f t="shared" si="6"/>
        <v>-0.13000000000000012</v>
      </c>
      <c r="Q204" s="6">
        <f t="shared" si="7"/>
        <v>0.93048128342245984</v>
      </c>
      <c r="R204" s="3" t="s">
        <v>47</v>
      </c>
    </row>
    <row r="205" spans="1:18">
      <c r="A205" s="2">
        <v>46204</v>
      </c>
      <c r="B205" s="3" t="s">
        <v>18</v>
      </c>
      <c r="C205" s="3" t="s">
        <v>3</v>
      </c>
      <c r="D205" s="3">
        <v>3</v>
      </c>
      <c r="E205" s="3"/>
      <c r="F205" s="4">
        <v>210</v>
      </c>
      <c r="G205" s="4">
        <v>3.67</v>
      </c>
      <c r="H205" s="4">
        <v>3.82</v>
      </c>
      <c r="I205" s="4">
        <v>361.67</v>
      </c>
      <c r="J205" s="4">
        <v>301.42</v>
      </c>
      <c r="K205" s="4"/>
      <c r="L205" s="4">
        <v>0</v>
      </c>
      <c r="M205" s="5"/>
      <c r="N205" s="5"/>
      <c r="O205" s="3"/>
      <c r="P205" s="4">
        <f t="shared" si="6"/>
        <v>0.14999999999999991</v>
      </c>
      <c r="Q205" s="6">
        <f t="shared" si="7"/>
        <v>1.0408719346049047</v>
      </c>
      <c r="R205" s="3" t="s">
        <v>47</v>
      </c>
    </row>
    <row r="206" spans="1:18">
      <c r="A206" s="2">
        <v>46204</v>
      </c>
      <c r="B206" s="3" t="s">
        <v>18</v>
      </c>
      <c r="C206" s="3" t="s">
        <v>3</v>
      </c>
      <c r="D206" s="3">
        <v>4</v>
      </c>
      <c r="E206" s="3"/>
      <c r="F206" s="4">
        <v>210</v>
      </c>
      <c r="G206" s="4">
        <v>0</v>
      </c>
      <c r="H206" s="4">
        <v>3.63</v>
      </c>
      <c r="I206" s="4">
        <v>294</v>
      </c>
      <c r="J206" s="4">
        <v>153.75</v>
      </c>
      <c r="K206" s="4"/>
      <c r="L206" s="4">
        <v>0</v>
      </c>
      <c r="M206" s="5"/>
      <c r="N206" s="5"/>
      <c r="O206" s="3"/>
      <c r="P206" s="4">
        <f t="shared" si="6"/>
        <v>3.63</v>
      </c>
      <c r="Q206" s="6" t="str">
        <f t="shared" si="7"/>
        <v/>
      </c>
      <c r="R206" s="3" t="s">
        <v>47</v>
      </c>
    </row>
    <row r="207" spans="1:18">
      <c r="A207" s="2">
        <v>46204</v>
      </c>
      <c r="B207" s="3" t="s">
        <v>18</v>
      </c>
      <c r="C207" s="3" t="s">
        <v>3</v>
      </c>
      <c r="D207" s="3">
        <v>5</v>
      </c>
      <c r="E207" s="3"/>
      <c r="F207" s="4">
        <v>210</v>
      </c>
      <c r="G207" s="4">
        <v>3.81</v>
      </c>
      <c r="H207" s="4">
        <v>4.0599999999999996</v>
      </c>
      <c r="I207" s="4">
        <v>365.81</v>
      </c>
      <c r="J207" s="4">
        <v>298.51</v>
      </c>
      <c r="K207" s="4"/>
      <c r="L207" s="4">
        <v>0</v>
      </c>
      <c r="M207" s="5"/>
      <c r="N207" s="5"/>
      <c r="O207" s="3"/>
      <c r="P207" s="4">
        <f t="shared" si="6"/>
        <v>0.24999999999999956</v>
      </c>
      <c r="Q207" s="6">
        <f t="shared" si="7"/>
        <v>1.0656167979002624</v>
      </c>
      <c r="R207" s="3" t="s">
        <v>47</v>
      </c>
    </row>
    <row r="208" spans="1:18">
      <c r="A208" s="2">
        <v>46204</v>
      </c>
      <c r="B208" s="3" t="s">
        <v>18</v>
      </c>
      <c r="C208" s="3" t="s">
        <v>3</v>
      </c>
      <c r="D208" s="3">
        <v>6</v>
      </c>
      <c r="E208" s="3"/>
      <c r="F208" s="4">
        <v>195</v>
      </c>
      <c r="G208" s="4">
        <v>3.84</v>
      </c>
      <c r="H208" s="4">
        <v>3.86</v>
      </c>
      <c r="I208" s="4">
        <v>374.84</v>
      </c>
      <c r="J208" s="4">
        <v>361.45</v>
      </c>
      <c r="K208" s="4"/>
      <c r="L208" s="4">
        <v>0</v>
      </c>
      <c r="M208" s="5"/>
      <c r="N208" s="5"/>
      <c r="O208" s="3"/>
      <c r="P208" s="4">
        <f t="shared" si="6"/>
        <v>2.0000000000000018E-2</v>
      </c>
      <c r="Q208" s="6">
        <f t="shared" si="7"/>
        <v>1.0052083333333333</v>
      </c>
      <c r="R208" s="3" t="s">
        <v>47</v>
      </c>
    </row>
    <row r="209" spans="1:18">
      <c r="A209" s="2">
        <v>46204</v>
      </c>
      <c r="B209" s="3" t="s">
        <v>18</v>
      </c>
      <c r="C209" s="3" t="s">
        <v>3</v>
      </c>
      <c r="D209" s="3">
        <v>7</v>
      </c>
      <c r="E209" s="3" t="s">
        <v>48</v>
      </c>
      <c r="F209" s="4">
        <v>195</v>
      </c>
      <c r="G209" s="4">
        <v>0</v>
      </c>
      <c r="H209" s="4">
        <v>3.28</v>
      </c>
      <c r="I209" s="4">
        <v>369</v>
      </c>
      <c r="J209" s="4">
        <v>321.18</v>
      </c>
      <c r="K209" s="4"/>
      <c r="L209" s="4">
        <v>195</v>
      </c>
      <c r="M209" s="5">
        <v>46203.820138888892</v>
      </c>
      <c r="N209" s="5">
        <v>46204.149305555555</v>
      </c>
      <c r="O209" s="3" t="s">
        <v>46</v>
      </c>
      <c r="P209" s="4">
        <f t="shared" si="6"/>
        <v>3.28</v>
      </c>
      <c r="Q209" s="6" t="str">
        <f t="shared" si="7"/>
        <v/>
      </c>
      <c r="R209" s="3" t="s">
        <v>47</v>
      </c>
    </row>
    <row r="210" spans="1:18" hidden="1">
      <c r="A210" s="2">
        <v>46205</v>
      </c>
      <c r="B210" s="3" t="s">
        <v>18</v>
      </c>
      <c r="C210" s="3" t="s">
        <v>19</v>
      </c>
      <c r="D210" s="3"/>
      <c r="E210" s="3"/>
      <c r="F210" s="4">
        <v>1240</v>
      </c>
      <c r="G210" s="4">
        <v>15.03</v>
      </c>
      <c r="H210" s="4">
        <v>22.87</v>
      </c>
      <c r="I210" s="4">
        <v>2138.06</v>
      </c>
      <c r="J210" s="4">
        <v>1730.91</v>
      </c>
      <c r="K210" s="4">
        <v>9</v>
      </c>
      <c r="L210" s="4">
        <v>0</v>
      </c>
      <c r="M210" s="5"/>
      <c r="N210" s="5"/>
      <c r="O210" s="3"/>
      <c r="P210" s="4">
        <f t="shared" si="6"/>
        <v>7.8400000000000016</v>
      </c>
      <c r="Q210" s="6">
        <f t="shared" si="7"/>
        <v>1.5216234198270129</v>
      </c>
      <c r="R210" s="3" t="s">
        <v>49</v>
      </c>
    </row>
    <row r="211" spans="1:18">
      <c r="A211" s="2">
        <v>46205</v>
      </c>
      <c r="B211" s="3" t="s">
        <v>18</v>
      </c>
      <c r="C211" s="3" t="s">
        <v>3</v>
      </c>
      <c r="D211" s="3">
        <v>1</v>
      </c>
      <c r="E211" s="3"/>
      <c r="F211" s="4">
        <v>110</v>
      </c>
      <c r="G211" s="4">
        <v>1.84</v>
      </c>
      <c r="H211" s="4">
        <v>1.71</v>
      </c>
      <c r="I211" s="4">
        <v>180.68</v>
      </c>
      <c r="J211" s="4">
        <v>135.06</v>
      </c>
      <c r="K211" s="4"/>
      <c r="L211" s="4">
        <v>0</v>
      </c>
      <c r="M211" s="5"/>
      <c r="N211" s="5"/>
      <c r="O211" s="3"/>
      <c r="P211" s="4">
        <f t="shared" si="6"/>
        <v>-0.13000000000000012</v>
      </c>
      <c r="Q211" s="6">
        <f t="shared" si="7"/>
        <v>0.92934782608695643</v>
      </c>
      <c r="R211" s="3" t="s">
        <v>49</v>
      </c>
    </row>
    <row r="212" spans="1:18">
      <c r="A212" s="2">
        <v>46205</v>
      </c>
      <c r="B212" s="3" t="s">
        <v>18</v>
      </c>
      <c r="C212" s="3" t="s">
        <v>3</v>
      </c>
      <c r="D212" s="3">
        <v>2</v>
      </c>
      <c r="E212" s="3"/>
      <c r="F212" s="4">
        <v>110</v>
      </c>
      <c r="G212" s="4">
        <v>1.87</v>
      </c>
      <c r="H212" s="4">
        <v>1.76</v>
      </c>
      <c r="I212" s="4">
        <v>180.74</v>
      </c>
      <c r="J212" s="4">
        <v>140.13999999999999</v>
      </c>
      <c r="K212" s="4"/>
      <c r="L212" s="4">
        <v>0</v>
      </c>
      <c r="M212" s="5"/>
      <c r="N212" s="5"/>
      <c r="O212" s="3"/>
      <c r="P212" s="4">
        <f t="shared" si="6"/>
        <v>-0.1100000000000001</v>
      </c>
      <c r="Q212" s="6">
        <f t="shared" si="7"/>
        <v>0.94117647058823528</v>
      </c>
      <c r="R212" s="3" t="s">
        <v>49</v>
      </c>
    </row>
    <row r="213" spans="1:18">
      <c r="A213" s="2">
        <v>46205</v>
      </c>
      <c r="B213" s="3" t="s">
        <v>18</v>
      </c>
      <c r="C213" s="3" t="s">
        <v>3</v>
      </c>
      <c r="D213" s="3">
        <v>3</v>
      </c>
      <c r="E213" s="3"/>
      <c r="F213" s="4">
        <v>210</v>
      </c>
      <c r="G213" s="4">
        <v>3.67</v>
      </c>
      <c r="H213" s="4">
        <v>3.82</v>
      </c>
      <c r="I213" s="4">
        <v>365.34000000000003</v>
      </c>
      <c r="J213" s="4">
        <v>305.24</v>
      </c>
      <c r="K213" s="4"/>
      <c r="L213" s="4">
        <v>0</v>
      </c>
      <c r="M213" s="5"/>
      <c r="N213" s="5"/>
      <c r="O213" s="3"/>
      <c r="P213" s="4">
        <f t="shared" si="6"/>
        <v>0.14999999999999991</v>
      </c>
      <c r="Q213" s="6">
        <f t="shared" si="7"/>
        <v>1.0408719346049047</v>
      </c>
      <c r="R213" s="3" t="s">
        <v>49</v>
      </c>
    </row>
    <row r="214" spans="1:18">
      <c r="A214" s="2">
        <v>46205</v>
      </c>
      <c r="B214" s="3" t="s">
        <v>18</v>
      </c>
      <c r="C214" s="3" t="s">
        <v>3</v>
      </c>
      <c r="D214" s="3">
        <v>4</v>
      </c>
      <c r="E214" s="3"/>
      <c r="F214" s="4">
        <v>210</v>
      </c>
      <c r="G214" s="4">
        <v>0</v>
      </c>
      <c r="H214" s="4">
        <v>3.58</v>
      </c>
      <c r="I214" s="4">
        <v>294</v>
      </c>
      <c r="J214" s="4">
        <v>157.33000000000001</v>
      </c>
      <c r="K214" s="4"/>
      <c r="L214" s="4">
        <v>0</v>
      </c>
      <c r="M214" s="5"/>
      <c r="N214" s="5"/>
      <c r="O214" s="3"/>
      <c r="P214" s="4">
        <f t="shared" si="6"/>
        <v>3.58</v>
      </c>
      <c r="Q214" s="6" t="str">
        <f t="shared" si="7"/>
        <v/>
      </c>
      <c r="R214" s="3" t="s">
        <v>49</v>
      </c>
    </row>
    <row r="215" spans="1:18">
      <c r="A215" s="2">
        <v>46205</v>
      </c>
      <c r="B215" s="3" t="s">
        <v>18</v>
      </c>
      <c r="C215" s="3" t="s">
        <v>3</v>
      </c>
      <c r="D215" s="3">
        <v>5</v>
      </c>
      <c r="E215" s="3"/>
      <c r="F215" s="4">
        <v>210</v>
      </c>
      <c r="G215" s="4">
        <v>3.81</v>
      </c>
      <c r="H215" s="4">
        <v>4.08</v>
      </c>
      <c r="I215" s="4">
        <v>369.62</v>
      </c>
      <c r="J215" s="4">
        <v>302.58999999999997</v>
      </c>
      <c r="K215" s="4"/>
      <c r="L215" s="4">
        <v>0</v>
      </c>
      <c r="M215" s="5"/>
      <c r="N215" s="5"/>
      <c r="O215" s="3"/>
      <c r="P215" s="4">
        <f t="shared" si="6"/>
        <v>0.27</v>
      </c>
      <c r="Q215" s="6">
        <f t="shared" si="7"/>
        <v>1.0708661417322836</v>
      </c>
      <c r="R215" s="3" t="s">
        <v>49</v>
      </c>
    </row>
    <row r="216" spans="1:18">
      <c r="A216" s="2">
        <v>46205</v>
      </c>
      <c r="B216" s="3" t="s">
        <v>18</v>
      </c>
      <c r="C216" s="3" t="s">
        <v>3</v>
      </c>
      <c r="D216" s="3">
        <v>6</v>
      </c>
      <c r="E216" s="3"/>
      <c r="F216" s="4">
        <v>195</v>
      </c>
      <c r="G216" s="4">
        <v>3.84</v>
      </c>
      <c r="H216" s="4">
        <v>3.85</v>
      </c>
      <c r="I216" s="4">
        <v>378.67999999999995</v>
      </c>
      <c r="J216" s="4">
        <v>365.3</v>
      </c>
      <c r="K216" s="4"/>
      <c r="L216" s="4">
        <v>0</v>
      </c>
      <c r="M216" s="5"/>
      <c r="N216" s="5"/>
      <c r="O216" s="3"/>
      <c r="P216" s="4">
        <f t="shared" si="6"/>
        <v>1.0000000000000231E-2</v>
      </c>
      <c r="Q216" s="6">
        <f t="shared" si="7"/>
        <v>1.0026041666666667</v>
      </c>
      <c r="R216" s="3" t="s">
        <v>49</v>
      </c>
    </row>
    <row r="217" spans="1:18">
      <c r="A217" s="2">
        <v>46205</v>
      </c>
      <c r="B217" s="3" t="s">
        <v>18</v>
      </c>
      <c r="C217" s="3" t="s">
        <v>3</v>
      </c>
      <c r="D217" s="3">
        <v>7</v>
      </c>
      <c r="E217" s="3"/>
      <c r="F217" s="4">
        <v>195</v>
      </c>
      <c r="G217" s="4">
        <v>0</v>
      </c>
      <c r="H217" s="4">
        <v>4.07</v>
      </c>
      <c r="I217" s="4">
        <v>369</v>
      </c>
      <c r="J217" s="4">
        <v>325.25</v>
      </c>
      <c r="K217" s="4"/>
      <c r="L217" s="4">
        <v>0</v>
      </c>
      <c r="M217" s="5"/>
      <c r="N217" s="5"/>
      <c r="O217" s="3"/>
      <c r="P217" s="4">
        <f t="shared" si="6"/>
        <v>4.07</v>
      </c>
      <c r="Q217" s="6" t="str">
        <f t="shared" si="7"/>
        <v/>
      </c>
      <c r="R217" s="3" t="s">
        <v>49</v>
      </c>
    </row>
    <row r="218" spans="1:18" hidden="1">
      <c r="A218" s="2">
        <v>46206</v>
      </c>
      <c r="B218" s="3" t="s">
        <v>18</v>
      </c>
      <c r="C218" s="3" t="s">
        <v>19</v>
      </c>
      <c r="D218" s="3"/>
      <c r="E218" s="3"/>
      <c r="F218" s="4">
        <v>1240</v>
      </c>
      <c r="G218" s="4">
        <v>15.03</v>
      </c>
      <c r="H218" s="4">
        <v>21.56</v>
      </c>
      <c r="I218" s="4">
        <v>2153.09</v>
      </c>
      <c r="J218" s="4">
        <v>1752.4699999999998</v>
      </c>
      <c r="K218" s="4">
        <v>9</v>
      </c>
      <c r="L218" s="4">
        <v>0</v>
      </c>
      <c r="M218" s="5"/>
      <c r="N218" s="5"/>
      <c r="O218" s="3"/>
      <c r="P218" s="4">
        <f t="shared" si="6"/>
        <v>6.5299999999999994</v>
      </c>
      <c r="Q218" s="6">
        <f t="shared" si="7"/>
        <v>1.4344644045242847</v>
      </c>
      <c r="R218" s="3" t="s">
        <v>50</v>
      </c>
    </row>
    <row r="219" spans="1:18">
      <c r="A219" s="2">
        <v>46206</v>
      </c>
      <c r="B219" s="3" t="s">
        <v>18</v>
      </c>
      <c r="C219" s="3" t="s">
        <v>3</v>
      </c>
      <c r="D219" s="3">
        <v>1</v>
      </c>
      <c r="E219" s="3"/>
      <c r="F219" s="4">
        <v>110</v>
      </c>
      <c r="G219" s="4">
        <v>1.84</v>
      </c>
      <c r="H219" s="4">
        <v>1.54</v>
      </c>
      <c r="I219" s="4">
        <v>182.52</v>
      </c>
      <c r="J219" s="4">
        <v>136.6</v>
      </c>
      <c r="K219" s="4"/>
      <c r="L219" s="4">
        <v>0</v>
      </c>
      <c r="M219" s="5"/>
      <c r="N219" s="5"/>
      <c r="O219" s="3"/>
      <c r="P219" s="4">
        <f t="shared" si="6"/>
        <v>-0.30000000000000004</v>
      </c>
      <c r="Q219" s="6">
        <f t="shared" si="7"/>
        <v>0.83695652173913038</v>
      </c>
      <c r="R219" s="3" t="s">
        <v>50</v>
      </c>
    </row>
    <row r="220" spans="1:18">
      <c r="A220" s="2">
        <v>46206</v>
      </c>
      <c r="B220" s="3" t="s">
        <v>18</v>
      </c>
      <c r="C220" s="3" t="s">
        <v>3</v>
      </c>
      <c r="D220" s="3">
        <v>2</v>
      </c>
      <c r="E220" s="3"/>
      <c r="F220" s="4">
        <v>110</v>
      </c>
      <c r="G220" s="4">
        <v>1.87</v>
      </c>
      <c r="H220" s="4">
        <v>1.58</v>
      </c>
      <c r="I220" s="4">
        <v>182.61</v>
      </c>
      <c r="J220" s="4">
        <v>141.72</v>
      </c>
      <c r="K220" s="4"/>
      <c r="L220" s="4">
        <v>0</v>
      </c>
      <c r="M220" s="5"/>
      <c r="N220" s="5"/>
      <c r="O220" s="3"/>
      <c r="P220" s="4">
        <f t="shared" si="6"/>
        <v>-0.29000000000000004</v>
      </c>
      <c r="Q220" s="6">
        <f t="shared" si="7"/>
        <v>0.84491978609625662</v>
      </c>
      <c r="R220" s="3" t="s">
        <v>50</v>
      </c>
    </row>
    <row r="221" spans="1:18">
      <c r="A221" s="2">
        <v>46206</v>
      </c>
      <c r="B221" s="3" t="s">
        <v>18</v>
      </c>
      <c r="C221" s="3" t="s">
        <v>3</v>
      </c>
      <c r="D221" s="3">
        <v>3</v>
      </c>
      <c r="E221" s="3"/>
      <c r="F221" s="4">
        <v>210</v>
      </c>
      <c r="G221" s="4">
        <v>3.67</v>
      </c>
      <c r="H221" s="4">
        <v>3.59</v>
      </c>
      <c r="I221" s="4">
        <v>369.01000000000005</v>
      </c>
      <c r="J221" s="4">
        <v>308.83</v>
      </c>
      <c r="K221" s="4"/>
      <c r="L221" s="4">
        <v>0</v>
      </c>
      <c r="M221" s="5"/>
      <c r="N221" s="5"/>
      <c r="O221" s="3"/>
      <c r="P221" s="4">
        <f t="shared" si="6"/>
        <v>-8.0000000000000071E-2</v>
      </c>
      <c r="Q221" s="6">
        <f t="shared" si="7"/>
        <v>0.97820163487738421</v>
      </c>
      <c r="R221" s="3" t="s">
        <v>50</v>
      </c>
    </row>
    <row r="222" spans="1:18">
      <c r="A222" s="2">
        <v>46206</v>
      </c>
      <c r="B222" s="3" t="s">
        <v>18</v>
      </c>
      <c r="C222" s="3" t="s">
        <v>3</v>
      </c>
      <c r="D222" s="3">
        <v>4</v>
      </c>
      <c r="E222" s="3"/>
      <c r="F222" s="4">
        <v>210</v>
      </c>
      <c r="G222" s="4">
        <v>0</v>
      </c>
      <c r="H222" s="4">
        <v>3.17</v>
      </c>
      <c r="I222" s="4">
        <v>294</v>
      </c>
      <c r="J222" s="4">
        <v>160.5</v>
      </c>
      <c r="K222" s="4"/>
      <c r="L222" s="4">
        <v>0</v>
      </c>
      <c r="M222" s="5"/>
      <c r="N222" s="5"/>
      <c r="O222" s="3"/>
      <c r="P222" s="4">
        <f t="shared" si="6"/>
        <v>3.17</v>
      </c>
      <c r="Q222" s="6" t="str">
        <f t="shared" si="7"/>
        <v/>
      </c>
      <c r="R222" s="3" t="s">
        <v>50</v>
      </c>
    </row>
    <row r="223" spans="1:18">
      <c r="A223" s="2">
        <v>46206</v>
      </c>
      <c r="B223" s="3" t="s">
        <v>18</v>
      </c>
      <c r="C223" s="3" t="s">
        <v>3</v>
      </c>
      <c r="D223" s="3">
        <v>5</v>
      </c>
      <c r="E223" s="3"/>
      <c r="F223" s="4">
        <v>210</v>
      </c>
      <c r="G223" s="4">
        <v>3.81</v>
      </c>
      <c r="H223" s="4">
        <v>3.88</v>
      </c>
      <c r="I223" s="4">
        <v>373.43</v>
      </c>
      <c r="J223" s="4">
        <v>306.47000000000003</v>
      </c>
      <c r="K223" s="4"/>
      <c r="L223" s="4">
        <v>0</v>
      </c>
      <c r="M223" s="5"/>
      <c r="N223" s="5"/>
      <c r="O223" s="3"/>
      <c r="P223" s="4">
        <f t="shared" si="6"/>
        <v>6.999999999999984E-2</v>
      </c>
      <c r="Q223" s="6">
        <f t="shared" si="7"/>
        <v>1.0183727034120735</v>
      </c>
      <c r="R223" s="3" t="s">
        <v>50</v>
      </c>
    </row>
    <row r="224" spans="1:18">
      <c r="A224" s="2">
        <v>46206</v>
      </c>
      <c r="B224" s="3" t="s">
        <v>18</v>
      </c>
      <c r="C224" s="3" t="s">
        <v>3</v>
      </c>
      <c r="D224" s="3">
        <v>6</v>
      </c>
      <c r="E224" s="3"/>
      <c r="F224" s="4">
        <v>195</v>
      </c>
      <c r="G224" s="4">
        <v>3.84</v>
      </c>
      <c r="H224" s="4">
        <v>3.84</v>
      </c>
      <c r="I224" s="4">
        <v>382.51999999999992</v>
      </c>
      <c r="J224" s="4">
        <v>369.14</v>
      </c>
      <c r="K224" s="4"/>
      <c r="L224" s="4">
        <v>0</v>
      </c>
      <c r="M224" s="5"/>
      <c r="N224" s="5"/>
      <c r="O224" s="3"/>
      <c r="P224" s="4">
        <f t="shared" si="6"/>
        <v>0</v>
      </c>
      <c r="Q224" s="6">
        <f t="shared" si="7"/>
        <v>1</v>
      </c>
      <c r="R224" s="3" t="s">
        <v>50</v>
      </c>
    </row>
    <row r="225" spans="1:18">
      <c r="A225" s="2">
        <v>46206</v>
      </c>
      <c r="B225" s="3" t="s">
        <v>18</v>
      </c>
      <c r="C225" s="3" t="s">
        <v>3</v>
      </c>
      <c r="D225" s="3">
        <v>7</v>
      </c>
      <c r="E225" s="3"/>
      <c r="F225" s="4">
        <v>195</v>
      </c>
      <c r="G225" s="4">
        <v>0</v>
      </c>
      <c r="H225" s="4">
        <v>3.96</v>
      </c>
      <c r="I225" s="4">
        <v>369</v>
      </c>
      <c r="J225" s="4">
        <v>329.21</v>
      </c>
      <c r="K225" s="4"/>
      <c r="L225" s="4">
        <v>0</v>
      </c>
      <c r="M225" s="5"/>
      <c r="N225" s="5"/>
      <c r="O225" s="3"/>
      <c r="P225" s="4">
        <f t="shared" si="6"/>
        <v>3.96</v>
      </c>
      <c r="Q225" s="6" t="str">
        <f t="shared" si="7"/>
        <v/>
      </c>
      <c r="R225" s="3" t="s">
        <v>50</v>
      </c>
    </row>
    <row r="226" spans="1:18" hidden="1">
      <c r="A226" s="2">
        <v>46207</v>
      </c>
      <c r="B226" s="3" t="s">
        <v>18</v>
      </c>
      <c r="C226" s="3" t="s">
        <v>19</v>
      </c>
      <c r="D226" s="3"/>
      <c r="E226" s="3"/>
      <c r="F226" s="4">
        <v>1240</v>
      </c>
      <c r="G226" s="4">
        <v>15.03</v>
      </c>
      <c r="H226" s="4">
        <v>21.81</v>
      </c>
      <c r="I226" s="4">
        <v>2168.12</v>
      </c>
      <c r="J226" s="4">
        <v>1774.2800000000002</v>
      </c>
      <c r="K226" s="4">
        <v>9</v>
      </c>
      <c r="L226" s="4">
        <v>0</v>
      </c>
      <c r="M226" s="5"/>
      <c r="N226" s="5"/>
      <c r="O226" s="3"/>
      <c r="P226" s="4">
        <f t="shared" si="6"/>
        <v>6.7799999999999994</v>
      </c>
      <c r="Q226" s="6">
        <f t="shared" si="7"/>
        <v>1.4510978043912175</v>
      </c>
      <c r="R226" s="3" t="s">
        <v>51</v>
      </c>
    </row>
    <row r="227" spans="1:18">
      <c r="A227" s="2">
        <v>46207</v>
      </c>
      <c r="B227" s="3" t="s">
        <v>18</v>
      </c>
      <c r="C227" s="3" t="s">
        <v>3</v>
      </c>
      <c r="D227" s="3">
        <v>1</v>
      </c>
      <c r="E227" s="3"/>
      <c r="F227" s="4">
        <v>110</v>
      </c>
      <c r="G227" s="4">
        <v>1.84</v>
      </c>
      <c r="H227" s="4">
        <v>1.58</v>
      </c>
      <c r="I227" s="4">
        <v>184.36</v>
      </c>
      <c r="J227" s="4">
        <v>138.18</v>
      </c>
      <c r="K227" s="4"/>
      <c r="L227" s="4">
        <v>0</v>
      </c>
      <c r="M227" s="5"/>
      <c r="N227" s="5"/>
      <c r="O227" s="3"/>
      <c r="P227" s="4">
        <f t="shared" si="6"/>
        <v>-0.26</v>
      </c>
      <c r="Q227" s="6">
        <f t="shared" si="7"/>
        <v>0.85869565217391308</v>
      </c>
      <c r="R227" s="3" t="s">
        <v>51</v>
      </c>
    </row>
    <row r="228" spans="1:18">
      <c r="A228" s="2">
        <v>46207</v>
      </c>
      <c r="B228" s="3" t="s">
        <v>18</v>
      </c>
      <c r="C228" s="3" t="s">
        <v>3</v>
      </c>
      <c r="D228" s="3">
        <v>2</v>
      </c>
      <c r="E228" s="3"/>
      <c r="F228" s="4">
        <v>110</v>
      </c>
      <c r="G228" s="4">
        <v>1.87</v>
      </c>
      <c r="H228" s="4">
        <v>1.63</v>
      </c>
      <c r="I228" s="4">
        <v>184.48000000000002</v>
      </c>
      <c r="J228" s="4">
        <v>143.35</v>
      </c>
      <c r="K228" s="4"/>
      <c r="L228" s="4">
        <v>0</v>
      </c>
      <c r="M228" s="5"/>
      <c r="N228" s="5"/>
      <c r="O228" s="3"/>
      <c r="P228" s="4">
        <f t="shared" si="6"/>
        <v>-0.24000000000000021</v>
      </c>
      <c r="Q228" s="6">
        <f t="shared" si="7"/>
        <v>0.87165775401069512</v>
      </c>
      <c r="R228" s="3" t="s">
        <v>51</v>
      </c>
    </row>
    <row r="229" spans="1:18">
      <c r="A229" s="2">
        <v>46207</v>
      </c>
      <c r="B229" s="3" t="s">
        <v>18</v>
      </c>
      <c r="C229" s="3" t="s">
        <v>3</v>
      </c>
      <c r="D229" s="3">
        <v>3</v>
      </c>
      <c r="E229" s="3"/>
      <c r="F229" s="4">
        <v>210</v>
      </c>
      <c r="G229" s="4">
        <v>3.67</v>
      </c>
      <c r="H229" s="4">
        <v>3.62</v>
      </c>
      <c r="I229" s="4">
        <v>372.68000000000006</v>
      </c>
      <c r="J229" s="4">
        <v>312.45</v>
      </c>
      <c r="K229" s="4"/>
      <c r="L229" s="4">
        <v>0</v>
      </c>
      <c r="M229" s="5"/>
      <c r="N229" s="5"/>
      <c r="O229" s="3"/>
      <c r="P229" s="4">
        <f t="shared" si="6"/>
        <v>-4.9999999999999822E-2</v>
      </c>
      <c r="Q229" s="6">
        <f t="shared" si="7"/>
        <v>0.98637602179836514</v>
      </c>
      <c r="R229" s="3" t="s">
        <v>51</v>
      </c>
    </row>
    <row r="230" spans="1:18">
      <c r="A230" s="2">
        <v>46207</v>
      </c>
      <c r="B230" s="3" t="s">
        <v>18</v>
      </c>
      <c r="C230" s="3" t="s">
        <v>3</v>
      </c>
      <c r="D230" s="3">
        <v>4</v>
      </c>
      <c r="E230" s="3"/>
      <c r="F230" s="4">
        <v>210</v>
      </c>
      <c r="G230" s="4">
        <v>0</v>
      </c>
      <c r="H230" s="4">
        <v>3.25</v>
      </c>
      <c r="I230" s="4">
        <v>294</v>
      </c>
      <c r="J230" s="4">
        <v>163.75</v>
      </c>
      <c r="K230" s="4"/>
      <c r="L230" s="4">
        <v>0</v>
      </c>
      <c r="M230" s="5"/>
      <c r="N230" s="5"/>
      <c r="O230" s="3"/>
      <c r="P230" s="4">
        <f t="shared" si="6"/>
        <v>3.25</v>
      </c>
      <c r="Q230" s="6" t="str">
        <f t="shared" si="7"/>
        <v/>
      </c>
      <c r="R230" s="3" t="s">
        <v>51</v>
      </c>
    </row>
    <row r="231" spans="1:18">
      <c r="A231" s="2">
        <v>46207</v>
      </c>
      <c r="B231" s="3" t="s">
        <v>18</v>
      </c>
      <c r="C231" s="3" t="s">
        <v>3</v>
      </c>
      <c r="D231" s="3">
        <v>5</v>
      </c>
      <c r="E231" s="3"/>
      <c r="F231" s="4">
        <v>210</v>
      </c>
      <c r="G231" s="4">
        <v>3.81</v>
      </c>
      <c r="H231" s="4">
        <v>3.96</v>
      </c>
      <c r="I231" s="4">
        <v>377.24</v>
      </c>
      <c r="J231" s="4">
        <v>310.43</v>
      </c>
      <c r="K231" s="4"/>
      <c r="L231" s="4">
        <v>0</v>
      </c>
      <c r="M231" s="5"/>
      <c r="N231" s="5"/>
      <c r="O231" s="3"/>
      <c r="P231" s="4">
        <f t="shared" si="6"/>
        <v>0.14999999999999991</v>
      </c>
      <c r="Q231" s="6">
        <f t="shared" si="7"/>
        <v>1.0393700787401574</v>
      </c>
      <c r="R231" s="3" t="s">
        <v>51</v>
      </c>
    </row>
    <row r="232" spans="1:18">
      <c r="A232" s="2">
        <v>46207</v>
      </c>
      <c r="B232" s="3" t="s">
        <v>18</v>
      </c>
      <c r="C232" s="3" t="s">
        <v>3</v>
      </c>
      <c r="D232" s="3">
        <v>6</v>
      </c>
      <c r="E232" s="3"/>
      <c r="F232" s="4">
        <v>195</v>
      </c>
      <c r="G232" s="4">
        <v>3.84</v>
      </c>
      <c r="H232" s="4">
        <v>3.82</v>
      </c>
      <c r="I232" s="4">
        <v>386.3599999999999</v>
      </c>
      <c r="J232" s="4">
        <v>372.96</v>
      </c>
      <c r="K232" s="4"/>
      <c r="L232" s="4">
        <v>0</v>
      </c>
      <c r="M232" s="5"/>
      <c r="N232" s="5"/>
      <c r="O232" s="3"/>
      <c r="P232" s="4">
        <f t="shared" si="6"/>
        <v>-2.0000000000000018E-2</v>
      </c>
      <c r="Q232" s="6">
        <f t="shared" si="7"/>
        <v>0.99479166666666663</v>
      </c>
      <c r="R232" s="3" t="s">
        <v>51</v>
      </c>
    </row>
    <row r="233" spans="1:18">
      <c r="A233" s="2">
        <v>46207</v>
      </c>
      <c r="B233" s="3" t="s">
        <v>18</v>
      </c>
      <c r="C233" s="3" t="s">
        <v>3</v>
      </c>
      <c r="D233" s="3">
        <v>7</v>
      </c>
      <c r="E233" s="3"/>
      <c r="F233" s="4">
        <v>195</v>
      </c>
      <c r="G233" s="4">
        <v>0</v>
      </c>
      <c r="H233" s="4">
        <v>3.95</v>
      </c>
      <c r="I233" s="4">
        <v>369</v>
      </c>
      <c r="J233" s="4">
        <v>333.16</v>
      </c>
      <c r="K233" s="4"/>
      <c r="L233" s="4">
        <v>0</v>
      </c>
      <c r="M233" s="5"/>
      <c r="N233" s="5"/>
      <c r="O233" s="3"/>
      <c r="P233" s="4">
        <f t="shared" si="6"/>
        <v>3.95</v>
      </c>
      <c r="Q233" s="6" t="str">
        <f t="shared" si="7"/>
        <v/>
      </c>
      <c r="R233" s="3" t="s">
        <v>51</v>
      </c>
    </row>
    <row r="234" spans="1:18" hidden="1">
      <c r="A234" s="2">
        <v>46208</v>
      </c>
      <c r="B234" s="3" t="s">
        <v>18</v>
      </c>
      <c r="C234" s="3" t="s">
        <v>19</v>
      </c>
      <c r="D234" s="3"/>
      <c r="E234" s="3"/>
      <c r="F234" s="4">
        <v>1240</v>
      </c>
      <c r="G234" s="4">
        <v>15.03</v>
      </c>
      <c r="H234" s="4">
        <v>18.11</v>
      </c>
      <c r="I234" s="4">
        <v>2183.1499999999996</v>
      </c>
      <c r="J234" s="4">
        <v>1792.39</v>
      </c>
      <c r="K234" s="4">
        <v>9</v>
      </c>
      <c r="L234" s="4">
        <v>210</v>
      </c>
      <c r="M234" s="5"/>
      <c r="N234" s="5"/>
      <c r="O234" s="3"/>
      <c r="P234" s="4">
        <f t="shared" si="6"/>
        <v>3.08</v>
      </c>
      <c r="Q234" s="6">
        <f t="shared" si="7"/>
        <v>1.2049234863606122</v>
      </c>
      <c r="R234" s="3" t="s">
        <v>52</v>
      </c>
    </row>
    <row r="235" spans="1:18">
      <c r="A235" s="2">
        <v>46208</v>
      </c>
      <c r="B235" s="3" t="s">
        <v>18</v>
      </c>
      <c r="C235" s="3" t="s">
        <v>3</v>
      </c>
      <c r="D235" s="3">
        <v>1</v>
      </c>
      <c r="E235" s="3"/>
      <c r="F235" s="4">
        <v>110</v>
      </c>
      <c r="G235" s="4">
        <v>1.84</v>
      </c>
      <c r="H235" s="4">
        <v>1.5</v>
      </c>
      <c r="I235" s="4">
        <v>186.20000000000002</v>
      </c>
      <c r="J235" s="4">
        <v>139.68</v>
      </c>
      <c r="K235" s="4"/>
      <c r="L235" s="4">
        <v>0</v>
      </c>
      <c r="M235" s="5"/>
      <c r="N235" s="5"/>
      <c r="O235" s="3"/>
      <c r="P235" s="4">
        <f t="shared" si="6"/>
        <v>-0.34000000000000008</v>
      </c>
      <c r="Q235" s="6">
        <f t="shared" si="7"/>
        <v>0.81521739130434778</v>
      </c>
      <c r="R235" s="3" t="s">
        <v>52</v>
      </c>
    </row>
    <row r="236" spans="1:18">
      <c r="A236" s="2">
        <v>46208</v>
      </c>
      <c r="B236" s="3" t="s">
        <v>18</v>
      </c>
      <c r="C236" s="3" t="s">
        <v>3</v>
      </c>
      <c r="D236" s="3">
        <v>2</v>
      </c>
      <c r="E236" s="3"/>
      <c r="F236" s="4">
        <v>110</v>
      </c>
      <c r="G236" s="4">
        <v>1.87</v>
      </c>
      <c r="H236" s="4">
        <v>1.55</v>
      </c>
      <c r="I236" s="4">
        <v>186.35000000000002</v>
      </c>
      <c r="J236" s="4">
        <v>144.9</v>
      </c>
      <c r="K236" s="4"/>
      <c r="L236" s="4">
        <v>0</v>
      </c>
      <c r="M236" s="5"/>
      <c r="N236" s="5"/>
      <c r="O236" s="3"/>
      <c r="P236" s="4">
        <f t="shared" si="6"/>
        <v>-0.32000000000000006</v>
      </c>
      <c r="Q236" s="6">
        <f t="shared" si="7"/>
        <v>0.82887700534759357</v>
      </c>
      <c r="R236" s="3" t="s">
        <v>52</v>
      </c>
    </row>
    <row r="237" spans="1:18">
      <c r="A237" s="2">
        <v>46208</v>
      </c>
      <c r="B237" s="3" t="s">
        <v>18</v>
      </c>
      <c r="C237" s="3" t="s">
        <v>3</v>
      </c>
      <c r="D237" s="3">
        <v>3</v>
      </c>
      <c r="E237" s="3"/>
      <c r="F237" s="4">
        <v>210</v>
      </c>
      <c r="G237" s="4">
        <v>3.67</v>
      </c>
      <c r="H237" s="4">
        <v>3.52</v>
      </c>
      <c r="I237" s="4">
        <v>376.35000000000008</v>
      </c>
      <c r="J237" s="4">
        <v>315.97000000000003</v>
      </c>
      <c r="K237" s="4"/>
      <c r="L237" s="4">
        <v>0</v>
      </c>
      <c r="M237" s="5"/>
      <c r="N237" s="5"/>
      <c r="O237" s="3"/>
      <c r="P237" s="4">
        <f t="shared" si="6"/>
        <v>-0.14999999999999991</v>
      </c>
      <c r="Q237" s="6">
        <f t="shared" si="7"/>
        <v>0.95912806539509543</v>
      </c>
      <c r="R237" s="3" t="s">
        <v>52</v>
      </c>
    </row>
    <row r="238" spans="1:18">
      <c r="A238" s="2">
        <v>46208</v>
      </c>
      <c r="B238" s="3" t="s">
        <v>18</v>
      </c>
      <c r="C238" s="3" t="s">
        <v>3</v>
      </c>
      <c r="D238" s="3">
        <v>4</v>
      </c>
      <c r="E238" s="3" t="s">
        <v>45</v>
      </c>
      <c r="F238" s="4">
        <v>210</v>
      </c>
      <c r="G238" s="4">
        <v>0</v>
      </c>
      <c r="H238" s="4">
        <v>0</v>
      </c>
      <c r="I238" s="4">
        <v>294</v>
      </c>
      <c r="J238" s="4">
        <v>163.75</v>
      </c>
      <c r="K238" s="4"/>
      <c r="L238" s="4">
        <v>210</v>
      </c>
      <c r="M238" s="5">
        <v>46208</v>
      </c>
      <c r="N238" s="5"/>
      <c r="O238" s="3" t="s">
        <v>53</v>
      </c>
      <c r="P238" s="4">
        <f t="shared" si="6"/>
        <v>0</v>
      </c>
      <c r="Q238" s="6" t="str">
        <f t="shared" si="7"/>
        <v/>
      </c>
      <c r="R238" s="3" t="s">
        <v>52</v>
      </c>
    </row>
    <row r="239" spans="1:18">
      <c r="A239" s="2">
        <v>46208</v>
      </c>
      <c r="B239" s="3" t="s">
        <v>18</v>
      </c>
      <c r="C239" s="3" t="s">
        <v>3</v>
      </c>
      <c r="D239" s="3">
        <v>5</v>
      </c>
      <c r="E239" s="3"/>
      <c r="F239" s="4">
        <v>210</v>
      </c>
      <c r="G239" s="4">
        <v>3.81</v>
      </c>
      <c r="H239" s="4">
        <v>3.86</v>
      </c>
      <c r="I239" s="4">
        <v>381.05</v>
      </c>
      <c r="J239" s="4">
        <v>314.29000000000002</v>
      </c>
      <c r="K239" s="4"/>
      <c r="L239" s="4">
        <v>0</v>
      </c>
      <c r="M239" s="5"/>
      <c r="N239" s="5"/>
      <c r="O239" s="3"/>
      <c r="P239" s="4">
        <f t="shared" si="6"/>
        <v>4.9999999999999822E-2</v>
      </c>
      <c r="Q239" s="6">
        <f t="shared" si="7"/>
        <v>1.0131233595800524</v>
      </c>
      <c r="R239" s="3" t="s">
        <v>52</v>
      </c>
    </row>
    <row r="240" spans="1:18">
      <c r="A240" s="2">
        <v>46208</v>
      </c>
      <c r="B240" s="3" t="s">
        <v>18</v>
      </c>
      <c r="C240" s="3" t="s">
        <v>3</v>
      </c>
      <c r="D240" s="3">
        <v>6</v>
      </c>
      <c r="E240" s="3"/>
      <c r="F240" s="4">
        <v>195</v>
      </c>
      <c r="G240" s="4">
        <v>3.84</v>
      </c>
      <c r="H240" s="4">
        <v>3.82</v>
      </c>
      <c r="I240" s="4">
        <v>390.19999999999987</v>
      </c>
      <c r="J240" s="4">
        <v>376.78</v>
      </c>
      <c r="K240" s="4"/>
      <c r="L240" s="4">
        <v>0</v>
      </c>
      <c r="M240" s="5"/>
      <c r="N240" s="5"/>
      <c r="O240" s="3"/>
      <c r="P240" s="4">
        <f t="shared" si="6"/>
        <v>-2.0000000000000018E-2</v>
      </c>
      <c r="Q240" s="6">
        <f t="shared" si="7"/>
        <v>0.99479166666666663</v>
      </c>
      <c r="R240" s="3" t="s">
        <v>52</v>
      </c>
    </row>
    <row r="241" spans="1:18">
      <c r="A241" s="2">
        <v>46208</v>
      </c>
      <c r="B241" s="3" t="s">
        <v>18</v>
      </c>
      <c r="C241" s="3" t="s">
        <v>3</v>
      </c>
      <c r="D241" s="3">
        <v>7</v>
      </c>
      <c r="E241" s="3"/>
      <c r="F241" s="4">
        <v>195</v>
      </c>
      <c r="G241" s="4">
        <v>0</v>
      </c>
      <c r="H241" s="4">
        <v>3.86</v>
      </c>
      <c r="I241" s="4">
        <v>369</v>
      </c>
      <c r="J241" s="4">
        <v>337.02</v>
      </c>
      <c r="K241" s="4"/>
      <c r="L241" s="4">
        <v>0</v>
      </c>
      <c r="M241" s="5"/>
      <c r="N241" s="5"/>
      <c r="O241" s="3"/>
      <c r="P241" s="4">
        <f t="shared" si="6"/>
        <v>3.86</v>
      </c>
      <c r="Q241" s="6" t="str">
        <f t="shared" si="7"/>
        <v/>
      </c>
      <c r="R241" s="3" t="s">
        <v>52</v>
      </c>
    </row>
    <row r="242" spans="1:18" hidden="1">
      <c r="A242" s="2">
        <v>46209</v>
      </c>
      <c r="B242" s="3" t="s">
        <v>18</v>
      </c>
      <c r="C242" s="3" t="s">
        <v>19</v>
      </c>
      <c r="D242" s="3"/>
      <c r="E242" s="3"/>
      <c r="F242" s="4">
        <v>1240</v>
      </c>
      <c r="G242" s="4">
        <v>15.03</v>
      </c>
      <c r="H242" s="4">
        <v>17.919999999999998</v>
      </c>
      <c r="I242" s="4">
        <v>2198.1800000000003</v>
      </c>
      <c r="J242" s="4">
        <v>1810.3100000000002</v>
      </c>
      <c r="K242" s="4">
        <v>9</v>
      </c>
      <c r="L242" s="4">
        <v>210</v>
      </c>
      <c r="M242" s="5"/>
      <c r="N242" s="5"/>
      <c r="O242" s="3"/>
      <c r="P242" s="4">
        <f t="shared" si="6"/>
        <v>2.8899999999999988</v>
      </c>
      <c r="Q242" s="6">
        <f t="shared" si="7"/>
        <v>1.1922821024617432</v>
      </c>
      <c r="R242" s="3" t="s">
        <v>54</v>
      </c>
    </row>
    <row r="243" spans="1:18" ht="27.6">
      <c r="A243" s="2">
        <v>46209</v>
      </c>
      <c r="B243" s="3" t="s">
        <v>18</v>
      </c>
      <c r="C243" s="3" t="s">
        <v>3</v>
      </c>
      <c r="D243" s="3">
        <v>1</v>
      </c>
      <c r="E243" s="3" t="s">
        <v>48</v>
      </c>
      <c r="F243" s="4">
        <v>110</v>
      </c>
      <c r="G243" s="4">
        <v>1.84</v>
      </c>
      <c r="H243" s="4">
        <v>1.56</v>
      </c>
      <c r="I243" s="4">
        <v>188.04000000000002</v>
      </c>
      <c r="J243" s="4">
        <v>141.24</v>
      </c>
      <c r="K243" s="4"/>
      <c r="L243" s="4">
        <v>0</v>
      </c>
      <c r="M243" s="5">
        <v>46209.556944444441</v>
      </c>
      <c r="N243" s="5">
        <v>46209.663194444445</v>
      </c>
      <c r="O243" s="3" t="s">
        <v>55</v>
      </c>
      <c r="P243" s="4">
        <f t="shared" si="6"/>
        <v>-0.28000000000000003</v>
      </c>
      <c r="Q243" s="6">
        <f t="shared" si="7"/>
        <v>0.84782608695652173</v>
      </c>
      <c r="R243" s="3" t="s">
        <v>54</v>
      </c>
    </row>
    <row r="244" spans="1:18">
      <c r="A244" s="2">
        <v>46209</v>
      </c>
      <c r="B244" s="3" t="s">
        <v>18</v>
      </c>
      <c r="C244" s="3" t="s">
        <v>3</v>
      </c>
      <c r="D244" s="3">
        <v>2</v>
      </c>
      <c r="E244" s="3"/>
      <c r="F244" s="4">
        <v>110</v>
      </c>
      <c r="G244" s="4">
        <v>1.87</v>
      </c>
      <c r="H244" s="4">
        <v>1.61</v>
      </c>
      <c r="I244" s="4">
        <v>188.22000000000003</v>
      </c>
      <c r="J244" s="4">
        <v>146.51</v>
      </c>
      <c r="K244" s="4"/>
      <c r="L244" s="4">
        <v>0</v>
      </c>
      <c r="M244" s="5"/>
      <c r="N244" s="5"/>
      <c r="O244" s="3"/>
      <c r="P244" s="4">
        <f t="shared" si="6"/>
        <v>-0.26</v>
      </c>
      <c r="Q244" s="6">
        <f t="shared" si="7"/>
        <v>0.86096256684491979</v>
      </c>
      <c r="R244" s="3" t="s">
        <v>54</v>
      </c>
    </row>
    <row r="245" spans="1:18">
      <c r="A245" s="2">
        <v>46209</v>
      </c>
      <c r="B245" s="3" t="s">
        <v>18</v>
      </c>
      <c r="C245" s="3" t="s">
        <v>3</v>
      </c>
      <c r="D245" s="3">
        <v>3</v>
      </c>
      <c r="E245" s="3"/>
      <c r="F245" s="4">
        <v>210</v>
      </c>
      <c r="G245" s="4">
        <v>3.67</v>
      </c>
      <c r="H245" s="4">
        <v>3.6</v>
      </c>
      <c r="I245" s="4">
        <v>380.0200000000001</v>
      </c>
      <c r="J245" s="4">
        <v>319.57</v>
      </c>
      <c r="K245" s="4"/>
      <c r="L245" s="4">
        <v>0</v>
      </c>
      <c r="M245" s="5"/>
      <c r="N245" s="5"/>
      <c r="O245" s="3"/>
      <c r="P245" s="4">
        <f t="shared" si="6"/>
        <v>-6.999999999999984E-2</v>
      </c>
      <c r="Q245" s="6">
        <f t="shared" si="7"/>
        <v>0.98092643051771122</v>
      </c>
      <c r="R245" s="3" t="s">
        <v>54</v>
      </c>
    </row>
    <row r="246" spans="1:18">
      <c r="A246" s="2">
        <v>46209</v>
      </c>
      <c r="B246" s="3" t="s">
        <v>18</v>
      </c>
      <c r="C246" s="3" t="s">
        <v>3</v>
      </c>
      <c r="D246" s="3">
        <v>4</v>
      </c>
      <c r="E246" s="3" t="s">
        <v>45</v>
      </c>
      <c r="F246" s="4">
        <v>210</v>
      </c>
      <c r="G246" s="4">
        <v>0</v>
      </c>
      <c r="H246" s="4">
        <v>0</v>
      </c>
      <c r="I246" s="4">
        <v>294</v>
      </c>
      <c r="J246" s="4">
        <v>163.75</v>
      </c>
      <c r="K246" s="4"/>
      <c r="L246" s="4">
        <v>210</v>
      </c>
      <c r="M246" s="5">
        <v>46208</v>
      </c>
      <c r="N246" s="5"/>
      <c r="O246" s="3" t="s">
        <v>53</v>
      </c>
      <c r="P246" s="4">
        <f t="shared" si="6"/>
        <v>0</v>
      </c>
      <c r="Q246" s="6" t="str">
        <f t="shared" si="7"/>
        <v/>
      </c>
      <c r="R246" s="3" t="s">
        <v>54</v>
      </c>
    </row>
    <row r="247" spans="1:18">
      <c r="A247" s="2">
        <v>46209</v>
      </c>
      <c r="B247" s="3" t="s">
        <v>18</v>
      </c>
      <c r="C247" s="3" t="s">
        <v>3</v>
      </c>
      <c r="D247" s="3">
        <v>5</v>
      </c>
      <c r="E247" s="3"/>
      <c r="F247" s="4">
        <v>210</v>
      </c>
      <c r="G247" s="4">
        <v>3.81</v>
      </c>
      <c r="H247" s="4">
        <v>3.88</v>
      </c>
      <c r="I247" s="4">
        <v>384.86</v>
      </c>
      <c r="J247" s="4">
        <v>318.17</v>
      </c>
      <c r="K247" s="4"/>
      <c r="L247" s="4">
        <v>0</v>
      </c>
      <c r="M247" s="5"/>
      <c r="N247" s="5"/>
      <c r="O247" s="3"/>
      <c r="P247" s="4">
        <f t="shared" si="6"/>
        <v>6.999999999999984E-2</v>
      </c>
      <c r="Q247" s="6">
        <f t="shared" si="7"/>
        <v>1.0183727034120735</v>
      </c>
      <c r="R247" s="3" t="s">
        <v>54</v>
      </c>
    </row>
    <row r="248" spans="1:18">
      <c r="A248" s="2">
        <v>46209</v>
      </c>
      <c r="B248" s="3" t="s">
        <v>18</v>
      </c>
      <c r="C248" s="3" t="s">
        <v>3</v>
      </c>
      <c r="D248" s="3">
        <v>6</v>
      </c>
      <c r="E248" s="3"/>
      <c r="F248" s="4">
        <v>195</v>
      </c>
      <c r="G248" s="4">
        <v>3.84</v>
      </c>
      <c r="H248" s="4">
        <v>3.84</v>
      </c>
      <c r="I248" s="4">
        <v>394.03999999999985</v>
      </c>
      <c r="J248" s="4">
        <v>380.62</v>
      </c>
      <c r="K248" s="4"/>
      <c r="L248" s="4">
        <v>0</v>
      </c>
      <c r="M248" s="5"/>
      <c r="N248" s="5"/>
      <c r="O248" s="3"/>
      <c r="P248" s="4">
        <f t="shared" si="6"/>
        <v>0</v>
      </c>
      <c r="Q248" s="6">
        <f t="shared" si="7"/>
        <v>1</v>
      </c>
      <c r="R248" s="3" t="s">
        <v>54</v>
      </c>
    </row>
    <row r="249" spans="1:18">
      <c r="A249" s="2">
        <v>46209</v>
      </c>
      <c r="B249" s="3" t="s">
        <v>18</v>
      </c>
      <c r="C249" s="3" t="s">
        <v>3</v>
      </c>
      <c r="D249" s="3">
        <v>7</v>
      </c>
      <c r="E249" s="3"/>
      <c r="F249" s="4">
        <v>195</v>
      </c>
      <c r="G249" s="4">
        <v>0</v>
      </c>
      <c r="H249" s="4">
        <v>3.43</v>
      </c>
      <c r="I249" s="4">
        <v>369</v>
      </c>
      <c r="J249" s="4">
        <v>340.45</v>
      </c>
      <c r="K249" s="4"/>
      <c r="L249" s="4">
        <v>0</v>
      </c>
      <c r="M249" s="5"/>
      <c r="N249" s="5"/>
      <c r="O249" s="3"/>
      <c r="P249" s="4">
        <f t="shared" si="6"/>
        <v>3.43</v>
      </c>
      <c r="Q249" s="6" t="str">
        <f t="shared" si="7"/>
        <v/>
      </c>
      <c r="R249" s="3" t="s">
        <v>54</v>
      </c>
    </row>
    <row r="250" spans="1:18" hidden="1">
      <c r="A250" s="2">
        <v>46210</v>
      </c>
      <c r="B250" s="3" t="s">
        <v>18</v>
      </c>
      <c r="C250" s="3" t="s">
        <v>19</v>
      </c>
      <c r="D250" s="3"/>
      <c r="E250" s="3"/>
      <c r="F250" s="4">
        <v>1240</v>
      </c>
      <c r="G250" s="4">
        <v>15.03</v>
      </c>
      <c r="H250" s="4">
        <v>18.5</v>
      </c>
      <c r="I250" s="4">
        <v>2213.21</v>
      </c>
      <c r="J250" s="4">
        <v>1828.81</v>
      </c>
      <c r="K250" s="4">
        <v>10</v>
      </c>
      <c r="L250" s="4">
        <v>210</v>
      </c>
      <c r="M250" s="5"/>
      <c r="N250" s="5"/>
      <c r="O250" s="3"/>
      <c r="P250" s="4">
        <f t="shared" si="6"/>
        <v>3.4700000000000006</v>
      </c>
      <c r="Q250" s="6">
        <f t="shared" si="7"/>
        <v>1.2308715901530274</v>
      </c>
      <c r="R250" s="3" t="s">
        <v>56</v>
      </c>
    </row>
    <row r="251" spans="1:18">
      <c r="A251" s="2">
        <v>46210</v>
      </c>
      <c r="B251" s="3" t="s">
        <v>18</v>
      </c>
      <c r="C251" s="3" t="s">
        <v>3</v>
      </c>
      <c r="D251" s="3">
        <v>1</v>
      </c>
      <c r="E251" s="3"/>
      <c r="F251" s="4">
        <v>110</v>
      </c>
      <c r="G251" s="4">
        <v>1.84</v>
      </c>
      <c r="H251" s="4">
        <v>1.6</v>
      </c>
      <c r="I251" s="4">
        <v>189.88000000000002</v>
      </c>
      <c r="J251" s="4">
        <v>142.84</v>
      </c>
      <c r="K251" s="4"/>
      <c r="L251" s="4">
        <v>0</v>
      </c>
      <c r="M251" s="5"/>
      <c r="N251" s="5"/>
      <c r="O251" s="3"/>
      <c r="P251" s="4">
        <f t="shared" si="6"/>
        <v>-0.24</v>
      </c>
      <c r="Q251" s="6">
        <f t="shared" si="7"/>
        <v>0.86956521739130432</v>
      </c>
      <c r="R251" s="3" t="s">
        <v>56</v>
      </c>
    </row>
    <row r="252" spans="1:18">
      <c r="A252" s="2">
        <v>46210</v>
      </c>
      <c r="B252" s="3" t="s">
        <v>18</v>
      </c>
      <c r="C252" s="3" t="s">
        <v>3</v>
      </c>
      <c r="D252" s="3">
        <v>2</v>
      </c>
      <c r="E252" s="3"/>
      <c r="F252" s="4">
        <v>110</v>
      </c>
      <c r="G252" s="4">
        <v>1.87</v>
      </c>
      <c r="H252" s="4">
        <v>1.6</v>
      </c>
      <c r="I252" s="4">
        <v>190.09000000000003</v>
      </c>
      <c r="J252" s="4">
        <v>148.11000000000001</v>
      </c>
      <c r="K252" s="4"/>
      <c r="L252" s="4">
        <v>0</v>
      </c>
      <c r="M252" s="5"/>
      <c r="N252" s="5"/>
      <c r="O252" s="3"/>
      <c r="P252" s="4">
        <f t="shared" si="6"/>
        <v>-0.27</v>
      </c>
      <c r="Q252" s="6">
        <f t="shared" si="7"/>
        <v>0.85561497326203206</v>
      </c>
      <c r="R252" s="3" t="s">
        <v>56</v>
      </c>
    </row>
    <row r="253" spans="1:18">
      <c r="A253" s="2">
        <v>46210</v>
      </c>
      <c r="B253" s="3" t="s">
        <v>18</v>
      </c>
      <c r="C253" s="3" t="s">
        <v>3</v>
      </c>
      <c r="D253" s="3">
        <v>3</v>
      </c>
      <c r="E253" s="3"/>
      <c r="F253" s="4">
        <v>210</v>
      </c>
      <c r="G253" s="4">
        <v>3.67</v>
      </c>
      <c r="H253" s="4">
        <v>3.61</v>
      </c>
      <c r="I253" s="4">
        <v>383.69000000000011</v>
      </c>
      <c r="J253" s="4">
        <v>323.18</v>
      </c>
      <c r="K253" s="4"/>
      <c r="L253" s="4">
        <v>0</v>
      </c>
      <c r="M253" s="5"/>
      <c r="N253" s="5"/>
      <c r="O253" s="3"/>
      <c r="P253" s="4">
        <f t="shared" si="6"/>
        <v>-6.0000000000000053E-2</v>
      </c>
      <c r="Q253" s="6">
        <f t="shared" si="7"/>
        <v>0.98365122615803813</v>
      </c>
      <c r="R253" s="3" t="s">
        <v>56</v>
      </c>
    </row>
    <row r="254" spans="1:18">
      <c r="A254" s="2">
        <v>46210</v>
      </c>
      <c r="B254" s="3" t="s">
        <v>18</v>
      </c>
      <c r="C254" s="3" t="s">
        <v>3</v>
      </c>
      <c r="D254" s="3">
        <v>4</v>
      </c>
      <c r="E254" s="3" t="s">
        <v>45</v>
      </c>
      <c r="F254" s="4">
        <v>210</v>
      </c>
      <c r="G254" s="4">
        <v>0</v>
      </c>
      <c r="H254" s="4">
        <v>0</v>
      </c>
      <c r="I254" s="4">
        <v>294</v>
      </c>
      <c r="J254" s="4">
        <v>163.75</v>
      </c>
      <c r="K254" s="4"/>
      <c r="L254" s="4">
        <v>210</v>
      </c>
      <c r="M254" s="5">
        <v>46208</v>
      </c>
      <c r="N254" s="5"/>
      <c r="O254" s="3" t="s">
        <v>53</v>
      </c>
      <c r="P254" s="4">
        <f t="shared" si="6"/>
        <v>0</v>
      </c>
      <c r="Q254" s="6" t="str">
        <f t="shared" si="7"/>
        <v/>
      </c>
      <c r="R254" s="3" t="s">
        <v>56</v>
      </c>
    </row>
    <row r="255" spans="1:18">
      <c r="A255" s="2">
        <v>46210</v>
      </c>
      <c r="B255" s="3" t="s">
        <v>18</v>
      </c>
      <c r="C255" s="3" t="s">
        <v>3</v>
      </c>
      <c r="D255" s="3">
        <v>5</v>
      </c>
      <c r="E255" s="3"/>
      <c r="F255" s="4">
        <v>210</v>
      </c>
      <c r="G255" s="4">
        <v>3.81</v>
      </c>
      <c r="H255" s="4">
        <v>3.9</v>
      </c>
      <c r="I255" s="4">
        <v>388.67</v>
      </c>
      <c r="J255" s="4">
        <v>322.07</v>
      </c>
      <c r="K255" s="4"/>
      <c r="L255" s="4">
        <v>0</v>
      </c>
      <c r="M255" s="5"/>
      <c r="N255" s="5"/>
      <c r="O255" s="3"/>
      <c r="P255" s="4">
        <f t="shared" si="6"/>
        <v>8.9999999999999858E-2</v>
      </c>
      <c r="Q255" s="6">
        <f t="shared" si="7"/>
        <v>1.0236220472440944</v>
      </c>
      <c r="R255" s="3" t="s">
        <v>56</v>
      </c>
    </row>
    <row r="256" spans="1:18">
      <c r="A256" s="2">
        <v>46210</v>
      </c>
      <c r="B256" s="3" t="s">
        <v>18</v>
      </c>
      <c r="C256" s="3" t="s">
        <v>3</v>
      </c>
      <c r="D256" s="3">
        <v>6</v>
      </c>
      <c r="E256" s="3"/>
      <c r="F256" s="4">
        <v>195</v>
      </c>
      <c r="G256" s="4">
        <v>3.84</v>
      </c>
      <c r="H256" s="4">
        <v>3.84</v>
      </c>
      <c r="I256" s="4">
        <v>397.87999999999982</v>
      </c>
      <c r="J256" s="4">
        <v>384.46</v>
      </c>
      <c r="K256" s="4"/>
      <c r="L256" s="4">
        <v>0</v>
      </c>
      <c r="M256" s="5"/>
      <c r="N256" s="5"/>
      <c r="O256" s="3"/>
      <c r="P256" s="4">
        <f t="shared" si="6"/>
        <v>0</v>
      </c>
      <c r="Q256" s="6">
        <f t="shared" si="7"/>
        <v>1</v>
      </c>
      <c r="R256" s="3" t="s">
        <v>56</v>
      </c>
    </row>
    <row r="257" spans="1:18">
      <c r="A257" s="2">
        <v>46210</v>
      </c>
      <c r="B257" s="3" t="s">
        <v>18</v>
      </c>
      <c r="C257" s="3" t="s">
        <v>3</v>
      </c>
      <c r="D257" s="3">
        <v>7</v>
      </c>
      <c r="E257" s="3"/>
      <c r="F257" s="4">
        <v>195</v>
      </c>
      <c r="G257" s="4">
        <v>0</v>
      </c>
      <c r="H257" s="4">
        <v>3.95</v>
      </c>
      <c r="I257" s="4">
        <v>369</v>
      </c>
      <c r="J257" s="4">
        <v>344.4</v>
      </c>
      <c r="K257" s="4"/>
      <c r="L257" s="4">
        <v>0</v>
      </c>
      <c r="M257" s="5"/>
      <c r="N257" s="5"/>
      <c r="O257" s="3"/>
      <c r="P257" s="4">
        <f t="shared" si="6"/>
        <v>3.95</v>
      </c>
      <c r="Q257" s="6" t="str">
        <f t="shared" si="7"/>
        <v/>
      </c>
      <c r="R257" s="3" t="s">
        <v>56</v>
      </c>
    </row>
    <row r="258" spans="1:18" hidden="1">
      <c r="A258" s="2">
        <v>46211</v>
      </c>
      <c r="B258" s="3" t="s">
        <v>18</v>
      </c>
      <c r="C258" s="3" t="s">
        <v>19</v>
      </c>
      <c r="D258" s="3"/>
      <c r="E258" s="3"/>
      <c r="F258" s="4">
        <v>1240</v>
      </c>
      <c r="G258" s="4">
        <v>15.03</v>
      </c>
      <c r="H258" s="4">
        <v>18.16</v>
      </c>
      <c r="I258" s="4">
        <v>2228.2399999999998</v>
      </c>
      <c r="J258" s="4">
        <v>1846.97</v>
      </c>
      <c r="K258" s="4">
        <v>10</v>
      </c>
      <c r="L258" s="4">
        <v>210</v>
      </c>
      <c r="M258" s="5"/>
      <c r="N258" s="5"/>
      <c r="O258" s="3"/>
      <c r="P258" s="4">
        <f t="shared" ref="P258:P321" si="8">IF(OR(G258="",H258=""),"",H258-G258)</f>
        <v>3.1300000000000008</v>
      </c>
      <c r="Q258" s="6">
        <f t="shared" ref="Q258:Q321" si="9">IF(OR(G258="",G258=0,H258=""),"",H258/G258)</f>
        <v>1.2082501663339986</v>
      </c>
      <c r="R258" s="3" t="s">
        <v>57</v>
      </c>
    </row>
    <row r="259" spans="1:18">
      <c r="A259" s="2">
        <v>46211</v>
      </c>
      <c r="B259" s="3" t="s">
        <v>18</v>
      </c>
      <c r="C259" s="3" t="s">
        <v>3</v>
      </c>
      <c r="D259" s="3">
        <v>1</v>
      </c>
      <c r="E259" s="3"/>
      <c r="F259" s="4">
        <v>110</v>
      </c>
      <c r="G259" s="4">
        <v>1.84</v>
      </c>
      <c r="H259" s="4">
        <v>1.51</v>
      </c>
      <c r="I259" s="4">
        <v>191.72000000000003</v>
      </c>
      <c r="J259" s="4">
        <v>144.35</v>
      </c>
      <c r="K259" s="4"/>
      <c r="L259" s="4">
        <v>0</v>
      </c>
      <c r="M259" s="5"/>
      <c r="N259" s="5"/>
      <c r="O259" s="3"/>
      <c r="P259" s="4">
        <f t="shared" si="8"/>
        <v>-0.33000000000000007</v>
      </c>
      <c r="Q259" s="6">
        <f t="shared" si="9"/>
        <v>0.82065217391304346</v>
      </c>
      <c r="R259" s="3" t="s">
        <v>57</v>
      </c>
    </row>
    <row r="260" spans="1:18">
      <c r="A260" s="2">
        <v>46211</v>
      </c>
      <c r="B260" s="3" t="s">
        <v>18</v>
      </c>
      <c r="C260" s="3" t="s">
        <v>3</v>
      </c>
      <c r="D260" s="3">
        <v>2</v>
      </c>
      <c r="E260" s="3"/>
      <c r="F260" s="4">
        <v>110</v>
      </c>
      <c r="G260" s="4">
        <v>1.87</v>
      </c>
      <c r="H260" s="4">
        <v>1.53</v>
      </c>
      <c r="I260" s="4">
        <v>191.96000000000004</v>
      </c>
      <c r="J260" s="4">
        <v>149.63999999999999</v>
      </c>
      <c r="K260" s="4"/>
      <c r="L260" s="4">
        <v>0</v>
      </c>
      <c r="M260" s="5"/>
      <c r="N260" s="5"/>
      <c r="O260" s="3"/>
      <c r="P260" s="4">
        <f t="shared" si="8"/>
        <v>-0.34000000000000008</v>
      </c>
      <c r="Q260" s="6">
        <f t="shared" si="9"/>
        <v>0.81818181818181812</v>
      </c>
      <c r="R260" s="3" t="s">
        <v>57</v>
      </c>
    </row>
    <row r="261" spans="1:18">
      <c r="A261" s="2">
        <v>46211</v>
      </c>
      <c r="B261" s="3" t="s">
        <v>18</v>
      </c>
      <c r="C261" s="3" t="s">
        <v>3</v>
      </c>
      <c r="D261" s="3">
        <v>3</v>
      </c>
      <c r="E261" s="3"/>
      <c r="F261" s="4">
        <v>210</v>
      </c>
      <c r="G261" s="4">
        <v>3.67</v>
      </c>
      <c r="H261" s="4">
        <v>3.53</v>
      </c>
      <c r="I261" s="4">
        <v>387.36000000000013</v>
      </c>
      <c r="J261" s="4">
        <v>326.70999999999998</v>
      </c>
      <c r="K261" s="4"/>
      <c r="L261" s="4">
        <v>0</v>
      </c>
      <c r="M261" s="5"/>
      <c r="N261" s="5"/>
      <c r="O261" s="3"/>
      <c r="P261" s="4">
        <f t="shared" si="8"/>
        <v>-0.14000000000000012</v>
      </c>
      <c r="Q261" s="6">
        <f t="shared" si="9"/>
        <v>0.96185286103542234</v>
      </c>
      <c r="R261" s="3" t="s">
        <v>57</v>
      </c>
    </row>
    <row r="262" spans="1:18">
      <c r="A262" s="2">
        <v>46211</v>
      </c>
      <c r="B262" s="3" t="s">
        <v>18</v>
      </c>
      <c r="C262" s="3" t="s">
        <v>3</v>
      </c>
      <c r="D262" s="3">
        <v>4</v>
      </c>
      <c r="E262" s="3" t="s">
        <v>45</v>
      </c>
      <c r="F262" s="4">
        <v>210</v>
      </c>
      <c r="G262" s="4">
        <v>0</v>
      </c>
      <c r="H262" s="4">
        <v>0</v>
      </c>
      <c r="I262" s="4">
        <v>294</v>
      </c>
      <c r="J262" s="4">
        <v>163.75</v>
      </c>
      <c r="K262" s="4"/>
      <c r="L262" s="4">
        <v>210</v>
      </c>
      <c r="M262" s="5">
        <v>46208</v>
      </c>
      <c r="N262" s="5"/>
      <c r="O262" s="3" t="s">
        <v>53</v>
      </c>
      <c r="P262" s="4">
        <f t="shared" si="8"/>
        <v>0</v>
      </c>
      <c r="Q262" s="6" t="str">
        <f t="shared" si="9"/>
        <v/>
      </c>
      <c r="R262" s="3" t="s">
        <v>57</v>
      </c>
    </row>
    <row r="263" spans="1:18">
      <c r="A263" s="2">
        <v>46211</v>
      </c>
      <c r="B263" s="3" t="s">
        <v>18</v>
      </c>
      <c r="C263" s="3" t="s">
        <v>3</v>
      </c>
      <c r="D263" s="3">
        <v>5</v>
      </c>
      <c r="E263" s="3"/>
      <c r="F263" s="4">
        <v>210</v>
      </c>
      <c r="G263" s="4">
        <v>3.81</v>
      </c>
      <c r="H263" s="4">
        <v>3.86</v>
      </c>
      <c r="I263" s="4">
        <v>392.48</v>
      </c>
      <c r="J263" s="4">
        <v>325.93</v>
      </c>
      <c r="K263" s="4"/>
      <c r="L263" s="4">
        <v>0</v>
      </c>
      <c r="M263" s="5"/>
      <c r="N263" s="5"/>
      <c r="O263" s="3"/>
      <c r="P263" s="4">
        <f t="shared" si="8"/>
        <v>4.9999999999999822E-2</v>
      </c>
      <c r="Q263" s="6">
        <f t="shared" si="9"/>
        <v>1.0131233595800524</v>
      </c>
      <c r="R263" s="3" t="s">
        <v>57</v>
      </c>
    </row>
    <row r="264" spans="1:18">
      <c r="A264" s="2">
        <v>46211</v>
      </c>
      <c r="B264" s="3" t="s">
        <v>18</v>
      </c>
      <c r="C264" s="3" t="s">
        <v>3</v>
      </c>
      <c r="D264" s="3">
        <v>6</v>
      </c>
      <c r="E264" s="3"/>
      <c r="F264" s="4">
        <v>195</v>
      </c>
      <c r="G264" s="4">
        <v>3.84</v>
      </c>
      <c r="H264" s="4">
        <v>3.84</v>
      </c>
      <c r="I264" s="4">
        <v>401.7199999999998</v>
      </c>
      <c r="J264" s="4">
        <v>388.3</v>
      </c>
      <c r="K264" s="4"/>
      <c r="L264" s="4">
        <v>0</v>
      </c>
      <c r="M264" s="5"/>
      <c r="N264" s="5"/>
      <c r="O264" s="3"/>
      <c r="P264" s="4">
        <f t="shared" si="8"/>
        <v>0</v>
      </c>
      <c r="Q264" s="6">
        <f t="shared" si="9"/>
        <v>1</v>
      </c>
      <c r="R264" s="3" t="s">
        <v>57</v>
      </c>
    </row>
    <row r="265" spans="1:18">
      <c r="A265" s="2">
        <v>46211</v>
      </c>
      <c r="B265" s="3" t="s">
        <v>18</v>
      </c>
      <c r="C265" s="3" t="s">
        <v>3</v>
      </c>
      <c r="D265" s="3">
        <v>7</v>
      </c>
      <c r="E265" s="3"/>
      <c r="F265" s="4">
        <v>195</v>
      </c>
      <c r="G265" s="4">
        <v>0</v>
      </c>
      <c r="H265" s="4">
        <v>3.89</v>
      </c>
      <c r="I265" s="4">
        <v>369</v>
      </c>
      <c r="J265" s="4">
        <v>348.29</v>
      </c>
      <c r="K265" s="4"/>
      <c r="L265" s="4">
        <v>0</v>
      </c>
      <c r="M265" s="5"/>
      <c r="N265" s="5"/>
      <c r="O265" s="3"/>
      <c r="P265" s="4">
        <f t="shared" si="8"/>
        <v>3.89</v>
      </c>
      <c r="Q265" s="6" t="str">
        <f t="shared" si="9"/>
        <v/>
      </c>
      <c r="R265" s="3" t="s">
        <v>57</v>
      </c>
    </row>
    <row r="266" spans="1:18" hidden="1">
      <c r="A266" s="2">
        <v>46212</v>
      </c>
      <c r="B266" s="3" t="s">
        <v>18</v>
      </c>
      <c r="C266" s="3" t="s">
        <v>19</v>
      </c>
      <c r="D266" s="3"/>
      <c r="E266" s="3"/>
      <c r="F266" s="4">
        <v>1240</v>
      </c>
      <c r="G266" s="4">
        <v>15.03</v>
      </c>
      <c r="H266" s="4">
        <v>14.29</v>
      </c>
      <c r="I266" s="4">
        <v>2243.27</v>
      </c>
      <c r="J266" s="4">
        <v>1861.2600000000002</v>
      </c>
      <c r="K266" s="4">
        <v>10</v>
      </c>
      <c r="L266" s="4">
        <v>530</v>
      </c>
      <c r="M266" s="5"/>
      <c r="N266" s="5"/>
      <c r="O266" s="3"/>
      <c r="P266" s="4">
        <f t="shared" si="8"/>
        <v>-0.74000000000000021</v>
      </c>
      <c r="Q266" s="6">
        <f t="shared" si="9"/>
        <v>0.95076513639387894</v>
      </c>
      <c r="R266" s="3" t="s">
        <v>58</v>
      </c>
    </row>
    <row r="267" spans="1:18" ht="27.6">
      <c r="A267" s="2">
        <v>46212</v>
      </c>
      <c r="B267" s="3" t="s">
        <v>18</v>
      </c>
      <c r="C267" s="3" t="s">
        <v>3</v>
      </c>
      <c r="D267" s="3">
        <v>1</v>
      </c>
      <c r="E267" s="3" t="s">
        <v>45</v>
      </c>
      <c r="F267" s="4">
        <v>110</v>
      </c>
      <c r="G267" s="4">
        <v>1.84</v>
      </c>
      <c r="H267" s="4">
        <v>0</v>
      </c>
      <c r="I267" s="4">
        <v>193.56000000000003</v>
      </c>
      <c r="J267" s="4">
        <v>144.35</v>
      </c>
      <c r="K267" s="4"/>
      <c r="L267" s="4">
        <v>110</v>
      </c>
      <c r="M267" s="5">
        <v>46212.000694444447</v>
      </c>
      <c r="N267" s="5"/>
      <c r="O267" s="3" t="s">
        <v>59</v>
      </c>
      <c r="P267" s="4">
        <f t="shared" si="8"/>
        <v>-1.84</v>
      </c>
      <c r="Q267" s="6">
        <f t="shared" si="9"/>
        <v>0</v>
      </c>
      <c r="R267" s="3" t="s">
        <v>58</v>
      </c>
    </row>
    <row r="268" spans="1:18">
      <c r="A268" s="2">
        <v>46212</v>
      </c>
      <c r="B268" s="3" t="s">
        <v>18</v>
      </c>
      <c r="C268" s="3" t="s">
        <v>3</v>
      </c>
      <c r="D268" s="3">
        <v>2</v>
      </c>
      <c r="E268" s="3"/>
      <c r="F268" s="4">
        <v>110</v>
      </c>
      <c r="G268" s="4">
        <v>1.87</v>
      </c>
      <c r="H268" s="4">
        <v>1.49</v>
      </c>
      <c r="I268" s="4">
        <v>193.83000000000004</v>
      </c>
      <c r="J268" s="4">
        <v>151.13</v>
      </c>
      <c r="K268" s="4"/>
      <c r="L268" s="4">
        <v>0</v>
      </c>
      <c r="M268" s="5"/>
      <c r="N268" s="5"/>
      <c r="O268" s="3"/>
      <c r="P268" s="4">
        <f t="shared" si="8"/>
        <v>-0.38000000000000012</v>
      </c>
      <c r="Q268" s="6">
        <f t="shared" si="9"/>
        <v>0.79679144385026734</v>
      </c>
      <c r="R268" s="3" t="s">
        <v>58</v>
      </c>
    </row>
    <row r="269" spans="1:18" ht="27.6">
      <c r="A269" s="2">
        <v>46212</v>
      </c>
      <c r="B269" s="3" t="s">
        <v>18</v>
      </c>
      <c r="C269" s="3" t="s">
        <v>3</v>
      </c>
      <c r="D269" s="3">
        <v>3</v>
      </c>
      <c r="E269" s="3" t="s">
        <v>45</v>
      </c>
      <c r="F269" s="4">
        <v>210</v>
      </c>
      <c r="G269" s="4">
        <v>3.67</v>
      </c>
      <c r="H269" s="4">
        <v>1.2</v>
      </c>
      <c r="I269" s="4">
        <v>391.03000000000014</v>
      </c>
      <c r="J269" s="4">
        <v>327.91</v>
      </c>
      <c r="K269" s="4"/>
      <c r="L269" s="4">
        <v>210</v>
      </c>
      <c r="M269" s="5">
        <v>46212.368750000001</v>
      </c>
      <c r="N269" s="5"/>
      <c r="O269" s="3" t="s">
        <v>59</v>
      </c>
      <c r="P269" s="4">
        <f t="shared" si="8"/>
        <v>-2.4699999999999998</v>
      </c>
      <c r="Q269" s="6">
        <f t="shared" si="9"/>
        <v>0.32697547683923706</v>
      </c>
      <c r="R269" s="3" t="s">
        <v>58</v>
      </c>
    </row>
    <row r="270" spans="1:18">
      <c r="A270" s="2">
        <v>46212</v>
      </c>
      <c r="B270" s="3" t="s">
        <v>18</v>
      </c>
      <c r="C270" s="3" t="s">
        <v>3</v>
      </c>
      <c r="D270" s="3">
        <v>4</v>
      </c>
      <c r="E270" s="3" t="s">
        <v>45</v>
      </c>
      <c r="F270" s="4">
        <v>210</v>
      </c>
      <c r="G270" s="4">
        <v>0</v>
      </c>
      <c r="H270" s="4">
        <v>0</v>
      </c>
      <c r="I270" s="4">
        <v>294</v>
      </c>
      <c r="J270" s="4">
        <v>163.75</v>
      </c>
      <c r="K270" s="4"/>
      <c r="L270" s="4">
        <v>210</v>
      </c>
      <c r="M270" s="5">
        <v>46208</v>
      </c>
      <c r="N270" s="5"/>
      <c r="O270" s="3" t="s">
        <v>53</v>
      </c>
      <c r="P270" s="4">
        <f t="shared" si="8"/>
        <v>0</v>
      </c>
      <c r="Q270" s="6" t="str">
        <f t="shared" si="9"/>
        <v/>
      </c>
      <c r="R270" s="3" t="s">
        <v>58</v>
      </c>
    </row>
    <row r="271" spans="1:18">
      <c r="A271" s="2">
        <v>46212</v>
      </c>
      <c r="B271" s="3" t="s">
        <v>18</v>
      </c>
      <c r="C271" s="3" t="s">
        <v>3</v>
      </c>
      <c r="D271" s="3">
        <v>5</v>
      </c>
      <c r="E271" s="3"/>
      <c r="F271" s="4">
        <v>210</v>
      </c>
      <c r="G271" s="4">
        <v>3.81</v>
      </c>
      <c r="H271" s="4">
        <v>3.89</v>
      </c>
      <c r="I271" s="4">
        <v>396.29</v>
      </c>
      <c r="J271" s="4">
        <v>329.82</v>
      </c>
      <c r="K271" s="4"/>
      <c r="L271" s="4">
        <v>0</v>
      </c>
      <c r="M271" s="5"/>
      <c r="N271" s="5"/>
      <c r="O271" s="3"/>
      <c r="P271" s="4">
        <f t="shared" si="8"/>
        <v>8.0000000000000071E-2</v>
      </c>
      <c r="Q271" s="6">
        <f t="shared" si="9"/>
        <v>1.0209973753280841</v>
      </c>
      <c r="R271" s="3" t="s">
        <v>58</v>
      </c>
    </row>
    <row r="272" spans="1:18">
      <c r="A272" s="2">
        <v>46212</v>
      </c>
      <c r="B272" s="3" t="s">
        <v>18</v>
      </c>
      <c r="C272" s="3" t="s">
        <v>3</v>
      </c>
      <c r="D272" s="3">
        <v>6</v>
      </c>
      <c r="E272" s="3"/>
      <c r="F272" s="4">
        <v>195</v>
      </c>
      <c r="G272" s="4">
        <v>3.84</v>
      </c>
      <c r="H272" s="4">
        <v>3.83</v>
      </c>
      <c r="I272" s="4">
        <v>405.55999999999977</v>
      </c>
      <c r="J272" s="4">
        <v>392.13</v>
      </c>
      <c r="K272" s="4"/>
      <c r="L272" s="4">
        <v>0</v>
      </c>
      <c r="M272" s="5"/>
      <c r="N272" s="5"/>
      <c r="O272" s="3"/>
      <c r="P272" s="4">
        <f t="shared" si="8"/>
        <v>-9.9999999999997868E-3</v>
      </c>
      <c r="Q272" s="6">
        <f t="shared" si="9"/>
        <v>0.99739583333333337</v>
      </c>
      <c r="R272" s="3" t="s">
        <v>58</v>
      </c>
    </row>
    <row r="273" spans="1:18">
      <c r="A273" s="2">
        <v>46212</v>
      </c>
      <c r="B273" s="3" t="s">
        <v>18</v>
      </c>
      <c r="C273" s="3" t="s">
        <v>3</v>
      </c>
      <c r="D273" s="3">
        <v>7</v>
      </c>
      <c r="E273" s="3"/>
      <c r="F273" s="4">
        <v>195</v>
      </c>
      <c r="G273" s="4">
        <v>0</v>
      </c>
      <c r="H273" s="4">
        <v>3.88</v>
      </c>
      <c r="I273" s="4">
        <v>369</v>
      </c>
      <c r="J273" s="4">
        <v>352.17</v>
      </c>
      <c r="K273" s="4"/>
      <c r="L273" s="4">
        <v>0</v>
      </c>
      <c r="M273" s="5"/>
      <c r="N273" s="5"/>
      <c r="O273" s="3"/>
      <c r="P273" s="4">
        <f t="shared" si="8"/>
        <v>3.88</v>
      </c>
      <c r="Q273" s="6" t="str">
        <f t="shared" si="9"/>
        <v/>
      </c>
      <c r="R273" s="3" t="s">
        <v>58</v>
      </c>
    </row>
    <row r="274" spans="1:18" hidden="1">
      <c r="A274" s="2">
        <v>46213</v>
      </c>
      <c r="B274" s="3" t="s">
        <v>18</v>
      </c>
      <c r="C274" s="3" t="s">
        <v>19</v>
      </c>
      <c r="D274" s="3"/>
      <c r="E274" s="3"/>
      <c r="F274" s="4">
        <v>1240</v>
      </c>
      <c r="G274" s="4">
        <v>15.03</v>
      </c>
      <c r="H274" s="4">
        <v>12.899999999999999</v>
      </c>
      <c r="I274" s="4">
        <v>2258.2999999999997</v>
      </c>
      <c r="J274" s="4">
        <v>1874.16</v>
      </c>
      <c r="K274" s="4">
        <v>11</v>
      </c>
      <c r="L274" s="4">
        <v>530</v>
      </c>
      <c r="M274" s="5"/>
      <c r="N274" s="5"/>
      <c r="O274" s="3"/>
      <c r="P274" s="4">
        <f t="shared" si="8"/>
        <v>-2.1300000000000008</v>
      </c>
      <c r="Q274" s="6">
        <f t="shared" si="9"/>
        <v>0.85828343313373245</v>
      </c>
      <c r="R274" s="3" t="s">
        <v>60</v>
      </c>
    </row>
    <row r="275" spans="1:18" ht="27.6">
      <c r="A275" s="2">
        <v>46213</v>
      </c>
      <c r="B275" s="3" t="s">
        <v>18</v>
      </c>
      <c r="C275" s="3" t="s">
        <v>3</v>
      </c>
      <c r="D275" s="3">
        <v>1</v>
      </c>
      <c r="E275" s="3" t="s">
        <v>45</v>
      </c>
      <c r="F275" s="4">
        <v>110</v>
      </c>
      <c r="G275" s="4">
        <v>1.84</v>
      </c>
      <c r="H275" s="4">
        <v>0</v>
      </c>
      <c r="I275" s="4">
        <v>195.40000000000003</v>
      </c>
      <c r="J275" s="4">
        <v>144.35</v>
      </c>
      <c r="K275" s="4"/>
      <c r="L275" s="4">
        <v>110</v>
      </c>
      <c r="M275" s="5">
        <v>46212.000694444447</v>
      </c>
      <c r="N275" s="5"/>
      <c r="O275" s="3" t="s">
        <v>59</v>
      </c>
      <c r="P275" s="4">
        <f t="shared" si="8"/>
        <v>-1.84</v>
      </c>
      <c r="Q275" s="6">
        <f t="shared" si="9"/>
        <v>0</v>
      </c>
      <c r="R275" s="3" t="s">
        <v>60</v>
      </c>
    </row>
    <row r="276" spans="1:18">
      <c r="A276" s="2">
        <v>46213</v>
      </c>
      <c r="B276" s="3" t="s">
        <v>18</v>
      </c>
      <c r="C276" s="3" t="s">
        <v>3</v>
      </c>
      <c r="D276" s="3">
        <v>2</v>
      </c>
      <c r="E276" s="3"/>
      <c r="F276" s="4">
        <v>110</v>
      </c>
      <c r="G276" s="4">
        <v>1.87</v>
      </c>
      <c r="H276" s="4">
        <v>1.46</v>
      </c>
      <c r="I276" s="4">
        <v>195.70000000000005</v>
      </c>
      <c r="J276" s="4">
        <v>152.59</v>
      </c>
      <c r="K276" s="4"/>
      <c r="L276" s="4">
        <v>0</v>
      </c>
      <c r="M276" s="5"/>
      <c r="N276" s="5"/>
      <c r="O276" s="3"/>
      <c r="P276" s="4">
        <f t="shared" si="8"/>
        <v>-0.41000000000000014</v>
      </c>
      <c r="Q276" s="6">
        <f t="shared" si="9"/>
        <v>0.78074866310160418</v>
      </c>
      <c r="R276" s="3" t="s">
        <v>60</v>
      </c>
    </row>
    <row r="277" spans="1:18" ht="27.6">
      <c r="A277" s="2">
        <v>46213</v>
      </c>
      <c r="B277" s="3" t="s">
        <v>18</v>
      </c>
      <c r="C277" s="3" t="s">
        <v>3</v>
      </c>
      <c r="D277" s="3">
        <v>3</v>
      </c>
      <c r="E277" s="3" t="s">
        <v>48</v>
      </c>
      <c r="F277" s="4">
        <v>210</v>
      </c>
      <c r="G277" s="4">
        <v>3.67</v>
      </c>
      <c r="H277" s="4">
        <v>0.08</v>
      </c>
      <c r="I277" s="4">
        <v>394.70000000000016</v>
      </c>
      <c r="J277" s="4">
        <v>327.99</v>
      </c>
      <c r="K277" s="4"/>
      <c r="L277" s="4">
        <v>210</v>
      </c>
      <c r="M277" s="5">
        <v>46212.368750000001</v>
      </c>
      <c r="N277" s="5">
        <v>46213.753472222219</v>
      </c>
      <c r="O277" s="3" t="s">
        <v>59</v>
      </c>
      <c r="P277" s="4">
        <f t="shared" si="8"/>
        <v>-3.59</v>
      </c>
      <c r="Q277" s="6">
        <f t="shared" si="9"/>
        <v>2.1798365122615803E-2</v>
      </c>
      <c r="R277" s="3" t="s">
        <v>60</v>
      </c>
    </row>
    <row r="278" spans="1:18">
      <c r="A278" s="2">
        <v>46213</v>
      </c>
      <c r="B278" s="3" t="s">
        <v>18</v>
      </c>
      <c r="C278" s="3" t="s">
        <v>3</v>
      </c>
      <c r="D278" s="3">
        <v>4</v>
      </c>
      <c r="E278" s="3" t="s">
        <v>45</v>
      </c>
      <c r="F278" s="4">
        <v>210</v>
      </c>
      <c r="G278" s="4">
        <v>0</v>
      </c>
      <c r="H278" s="4">
        <v>0</v>
      </c>
      <c r="I278" s="4">
        <v>294</v>
      </c>
      <c r="J278" s="4">
        <v>163.75</v>
      </c>
      <c r="K278" s="4"/>
      <c r="L278" s="4">
        <v>210</v>
      </c>
      <c r="M278" s="5">
        <v>46208</v>
      </c>
      <c r="N278" s="5"/>
      <c r="O278" s="3" t="s">
        <v>53</v>
      </c>
      <c r="P278" s="4">
        <f t="shared" si="8"/>
        <v>0</v>
      </c>
      <c r="Q278" s="6" t="str">
        <f t="shared" si="9"/>
        <v/>
      </c>
      <c r="R278" s="3" t="s">
        <v>60</v>
      </c>
    </row>
    <row r="279" spans="1:18">
      <c r="A279" s="2">
        <v>46213</v>
      </c>
      <c r="B279" s="3" t="s">
        <v>18</v>
      </c>
      <c r="C279" s="3" t="s">
        <v>3</v>
      </c>
      <c r="D279" s="3">
        <v>5</v>
      </c>
      <c r="E279" s="3"/>
      <c r="F279" s="4">
        <v>210</v>
      </c>
      <c r="G279" s="4">
        <v>3.81</v>
      </c>
      <c r="H279" s="4">
        <v>3.73</v>
      </c>
      <c r="I279" s="4">
        <v>400.1</v>
      </c>
      <c r="J279" s="4">
        <v>333.55</v>
      </c>
      <c r="K279" s="4"/>
      <c r="L279" s="4">
        <v>0</v>
      </c>
      <c r="M279" s="5"/>
      <c r="N279" s="5"/>
      <c r="O279" s="3"/>
      <c r="P279" s="4">
        <f t="shared" si="8"/>
        <v>-8.0000000000000071E-2</v>
      </c>
      <c r="Q279" s="6">
        <f t="shared" si="9"/>
        <v>0.97900262467191601</v>
      </c>
      <c r="R279" s="3" t="s">
        <v>60</v>
      </c>
    </row>
    <row r="280" spans="1:18">
      <c r="A280" s="2">
        <v>46213</v>
      </c>
      <c r="B280" s="3" t="s">
        <v>18</v>
      </c>
      <c r="C280" s="3" t="s">
        <v>3</v>
      </c>
      <c r="D280" s="3">
        <v>6</v>
      </c>
      <c r="E280" s="3"/>
      <c r="F280" s="4">
        <v>195</v>
      </c>
      <c r="G280" s="4">
        <v>3.84</v>
      </c>
      <c r="H280" s="4">
        <v>3.85</v>
      </c>
      <c r="I280" s="4">
        <v>409.39999999999975</v>
      </c>
      <c r="J280" s="4">
        <v>395.98</v>
      </c>
      <c r="K280" s="4"/>
      <c r="L280" s="4">
        <v>0</v>
      </c>
      <c r="M280" s="5"/>
      <c r="N280" s="5"/>
      <c r="O280" s="3"/>
      <c r="P280" s="4">
        <f t="shared" si="8"/>
        <v>1.0000000000000231E-2</v>
      </c>
      <c r="Q280" s="6">
        <f t="shared" si="9"/>
        <v>1.0026041666666667</v>
      </c>
      <c r="R280" s="3" t="s">
        <v>60</v>
      </c>
    </row>
    <row r="281" spans="1:18">
      <c r="A281" s="2">
        <v>46213</v>
      </c>
      <c r="B281" s="3" t="s">
        <v>18</v>
      </c>
      <c r="C281" s="3" t="s">
        <v>3</v>
      </c>
      <c r="D281" s="3">
        <v>7</v>
      </c>
      <c r="E281" s="3"/>
      <c r="F281" s="4">
        <v>195</v>
      </c>
      <c r="G281" s="4">
        <v>0</v>
      </c>
      <c r="H281" s="4">
        <v>3.78</v>
      </c>
      <c r="I281" s="4">
        <v>369</v>
      </c>
      <c r="J281" s="4">
        <v>355.95</v>
      </c>
      <c r="K281" s="4"/>
      <c r="L281" s="4">
        <v>0</v>
      </c>
      <c r="M281" s="5"/>
      <c r="N281" s="5"/>
      <c r="O281" s="3"/>
      <c r="P281" s="4">
        <f t="shared" si="8"/>
        <v>3.78</v>
      </c>
      <c r="Q281" s="6" t="str">
        <f t="shared" si="9"/>
        <v/>
      </c>
      <c r="R281" s="3" t="s">
        <v>60</v>
      </c>
    </row>
    <row r="282" spans="1:18" hidden="1">
      <c r="A282" s="2">
        <v>46214</v>
      </c>
      <c r="B282" s="3" t="s">
        <v>18</v>
      </c>
      <c r="C282" s="3" t="s">
        <v>19</v>
      </c>
      <c r="D282" s="3"/>
      <c r="E282" s="3"/>
      <c r="F282" s="4">
        <v>1240</v>
      </c>
      <c r="G282" s="4">
        <v>15.03</v>
      </c>
      <c r="H282" s="4">
        <v>16.43</v>
      </c>
      <c r="I282" s="4">
        <v>2273.33</v>
      </c>
      <c r="J282" s="4">
        <v>1890.59</v>
      </c>
      <c r="K282" s="4">
        <v>12</v>
      </c>
      <c r="L282" s="4">
        <v>320</v>
      </c>
      <c r="M282" s="5"/>
      <c r="N282" s="5"/>
      <c r="O282" s="3"/>
      <c r="P282" s="4">
        <f t="shared" si="8"/>
        <v>1.4000000000000004</v>
      </c>
      <c r="Q282" s="6">
        <f t="shared" si="9"/>
        <v>1.0931470392548237</v>
      </c>
      <c r="R282" s="3" t="s">
        <v>61</v>
      </c>
    </row>
    <row r="283" spans="1:18" ht="27.6">
      <c r="A283" s="2">
        <v>46214</v>
      </c>
      <c r="B283" s="3" t="s">
        <v>18</v>
      </c>
      <c r="C283" s="3" t="s">
        <v>3</v>
      </c>
      <c r="D283" s="3">
        <v>1</v>
      </c>
      <c r="E283" s="3" t="s">
        <v>45</v>
      </c>
      <c r="F283" s="4">
        <v>110</v>
      </c>
      <c r="G283" s="4">
        <v>1.84</v>
      </c>
      <c r="H283" s="4">
        <v>0</v>
      </c>
      <c r="I283" s="4">
        <v>197.24000000000004</v>
      </c>
      <c r="J283" s="4">
        <v>144.35</v>
      </c>
      <c r="K283" s="4"/>
      <c r="L283" s="4">
        <v>110</v>
      </c>
      <c r="M283" s="5">
        <v>46212.000694444447</v>
      </c>
      <c r="N283" s="5"/>
      <c r="O283" s="3" t="s">
        <v>59</v>
      </c>
      <c r="P283" s="4">
        <f t="shared" si="8"/>
        <v>-1.84</v>
      </c>
      <c r="Q283" s="6">
        <f t="shared" si="9"/>
        <v>0</v>
      </c>
      <c r="R283" s="3" t="s">
        <v>61</v>
      </c>
    </row>
    <row r="284" spans="1:18">
      <c r="A284" s="2">
        <v>46214</v>
      </c>
      <c r="B284" s="3" t="s">
        <v>18</v>
      </c>
      <c r="C284" s="3" t="s">
        <v>3</v>
      </c>
      <c r="D284" s="3">
        <v>2</v>
      </c>
      <c r="E284" s="3"/>
      <c r="F284" s="4">
        <v>110</v>
      </c>
      <c r="G284" s="4">
        <v>1.87</v>
      </c>
      <c r="H284" s="4">
        <v>1.52</v>
      </c>
      <c r="I284" s="4">
        <v>197.57000000000005</v>
      </c>
      <c r="J284" s="4">
        <v>154.11000000000001</v>
      </c>
      <c r="K284" s="4"/>
      <c r="L284" s="4">
        <v>0</v>
      </c>
      <c r="M284" s="5"/>
      <c r="N284" s="5"/>
      <c r="O284" s="3"/>
      <c r="P284" s="4">
        <f t="shared" si="8"/>
        <v>-0.35000000000000009</v>
      </c>
      <c r="Q284" s="6">
        <f t="shared" si="9"/>
        <v>0.8128342245989304</v>
      </c>
      <c r="R284" s="3" t="s">
        <v>61</v>
      </c>
    </row>
    <row r="285" spans="1:18">
      <c r="A285" s="2">
        <v>46214</v>
      </c>
      <c r="B285" s="3" t="s">
        <v>18</v>
      </c>
      <c r="C285" s="3" t="s">
        <v>3</v>
      </c>
      <c r="D285" s="3">
        <v>3</v>
      </c>
      <c r="E285" s="3"/>
      <c r="F285" s="4">
        <v>210</v>
      </c>
      <c r="G285" s="4">
        <v>3.67</v>
      </c>
      <c r="H285" s="4">
        <v>3.39</v>
      </c>
      <c r="I285" s="4">
        <v>398.37000000000018</v>
      </c>
      <c r="J285" s="4">
        <v>331.38</v>
      </c>
      <c r="K285" s="4"/>
      <c r="L285" s="4">
        <v>0</v>
      </c>
      <c r="M285" s="5"/>
      <c r="N285" s="5"/>
      <c r="O285" s="3"/>
      <c r="P285" s="4">
        <f t="shared" si="8"/>
        <v>-0.2799999999999998</v>
      </c>
      <c r="Q285" s="6">
        <f t="shared" si="9"/>
        <v>0.92370572207084478</v>
      </c>
      <c r="R285" s="3" t="s">
        <v>61</v>
      </c>
    </row>
    <row r="286" spans="1:18">
      <c r="A286" s="2">
        <v>46214</v>
      </c>
      <c r="B286" s="3" t="s">
        <v>18</v>
      </c>
      <c r="C286" s="3" t="s">
        <v>3</v>
      </c>
      <c r="D286" s="3">
        <v>4</v>
      </c>
      <c r="E286" s="3" t="s">
        <v>45</v>
      </c>
      <c r="F286" s="4">
        <v>210</v>
      </c>
      <c r="G286" s="4">
        <v>0</v>
      </c>
      <c r="H286" s="4">
        <v>0</v>
      </c>
      <c r="I286" s="4">
        <v>294</v>
      </c>
      <c r="J286" s="4">
        <v>163.75</v>
      </c>
      <c r="K286" s="4"/>
      <c r="L286" s="4">
        <v>210</v>
      </c>
      <c r="M286" s="5">
        <v>46208</v>
      </c>
      <c r="N286" s="5"/>
      <c r="O286" s="3" t="s">
        <v>53</v>
      </c>
      <c r="P286" s="4">
        <f t="shared" si="8"/>
        <v>0</v>
      </c>
      <c r="Q286" s="6" t="str">
        <f t="shared" si="9"/>
        <v/>
      </c>
      <c r="R286" s="3" t="s">
        <v>61</v>
      </c>
    </row>
    <row r="287" spans="1:18">
      <c r="A287" s="2">
        <v>46214</v>
      </c>
      <c r="B287" s="3" t="s">
        <v>18</v>
      </c>
      <c r="C287" s="3" t="s">
        <v>3</v>
      </c>
      <c r="D287" s="3">
        <v>5</v>
      </c>
      <c r="E287" s="3"/>
      <c r="F287" s="4">
        <v>210</v>
      </c>
      <c r="G287" s="4">
        <v>3.81</v>
      </c>
      <c r="H287" s="4">
        <v>3.81</v>
      </c>
      <c r="I287" s="4">
        <v>403.91</v>
      </c>
      <c r="J287" s="4">
        <v>337.36</v>
      </c>
      <c r="K287" s="4"/>
      <c r="L287" s="4">
        <v>0</v>
      </c>
      <c r="M287" s="5"/>
      <c r="N287" s="5"/>
      <c r="O287" s="3"/>
      <c r="P287" s="4">
        <f t="shared" si="8"/>
        <v>0</v>
      </c>
      <c r="Q287" s="6">
        <f t="shared" si="9"/>
        <v>1</v>
      </c>
      <c r="R287" s="3" t="s">
        <v>61</v>
      </c>
    </row>
    <row r="288" spans="1:18">
      <c r="A288" s="2">
        <v>46214</v>
      </c>
      <c r="B288" s="3" t="s">
        <v>18</v>
      </c>
      <c r="C288" s="3" t="s">
        <v>3</v>
      </c>
      <c r="D288" s="3">
        <v>6</v>
      </c>
      <c r="E288" s="3"/>
      <c r="F288" s="4">
        <v>195</v>
      </c>
      <c r="G288" s="4">
        <v>3.84</v>
      </c>
      <c r="H288" s="4">
        <v>3.83</v>
      </c>
      <c r="I288" s="4">
        <v>413.23999999999972</v>
      </c>
      <c r="J288" s="4">
        <v>399.81</v>
      </c>
      <c r="K288" s="4"/>
      <c r="L288" s="4">
        <v>0</v>
      </c>
      <c r="M288" s="5"/>
      <c r="N288" s="5"/>
      <c r="O288" s="3"/>
      <c r="P288" s="4">
        <f t="shared" si="8"/>
        <v>-9.9999999999997868E-3</v>
      </c>
      <c r="Q288" s="6">
        <f t="shared" si="9"/>
        <v>0.99739583333333337</v>
      </c>
      <c r="R288" s="3" t="s">
        <v>61</v>
      </c>
    </row>
    <row r="289" spans="1:18">
      <c r="A289" s="2">
        <v>46214</v>
      </c>
      <c r="B289" s="3" t="s">
        <v>18</v>
      </c>
      <c r="C289" s="3" t="s">
        <v>3</v>
      </c>
      <c r="D289" s="3">
        <v>7</v>
      </c>
      <c r="E289" s="3"/>
      <c r="F289" s="4">
        <v>195</v>
      </c>
      <c r="G289" s="4">
        <v>0</v>
      </c>
      <c r="H289" s="4">
        <v>3.88</v>
      </c>
      <c r="I289" s="4">
        <v>369</v>
      </c>
      <c r="J289" s="4">
        <v>359.83</v>
      </c>
      <c r="K289" s="4"/>
      <c r="L289" s="4">
        <v>0</v>
      </c>
      <c r="M289" s="5"/>
      <c r="N289" s="5"/>
      <c r="O289" s="3"/>
      <c r="P289" s="4">
        <f t="shared" si="8"/>
        <v>3.88</v>
      </c>
      <c r="Q289" s="6" t="str">
        <f t="shared" si="9"/>
        <v/>
      </c>
      <c r="R289" s="3" t="s">
        <v>61</v>
      </c>
    </row>
    <row r="290" spans="1:18" hidden="1">
      <c r="A290" s="2">
        <v>46215</v>
      </c>
      <c r="B290" s="3" t="s">
        <v>18</v>
      </c>
      <c r="C290" s="3" t="s">
        <v>19</v>
      </c>
      <c r="D290" s="3"/>
      <c r="E290" s="3"/>
      <c r="F290" s="4">
        <v>1240</v>
      </c>
      <c r="G290" s="4">
        <v>15.03</v>
      </c>
      <c r="H290" s="4">
        <v>16.509999999999998</v>
      </c>
      <c r="I290" s="4">
        <v>2288.36</v>
      </c>
      <c r="J290" s="4">
        <v>1907.1000000000001</v>
      </c>
      <c r="K290" s="4">
        <v>14</v>
      </c>
      <c r="L290" s="4">
        <v>320</v>
      </c>
      <c r="M290" s="5"/>
      <c r="N290" s="5"/>
      <c r="O290" s="3"/>
      <c r="P290" s="4">
        <f t="shared" si="8"/>
        <v>1.4799999999999986</v>
      </c>
      <c r="Q290" s="6">
        <f t="shared" si="9"/>
        <v>1.0984697272122421</v>
      </c>
      <c r="R290" s="3" t="s">
        <v>62</v>
      </c>
    </row>
    <row r="291" spans="1:18" ht="27.6">
      <c r="A291" s="2">
        <v>46215</v>
      </c>
      <c r="B291" s="3" t="s">
        <v>18</v>
      </c>
      <c r="C291" s="3" t="s">
        <v>3</v>
      </c>
      <c r="D291" s="3">
        <v>1</v>
      </c>
      <c r="E291" s="3" t="s">
        <v>45</v>
      </c>
      <c r="F291" s="4">
        <v>110</v>
      </c>
      <c r="G291" s="4">
        <v>1.84</v>
      </c>
      <c r="H291" s="4">
        <v>0</v>
      </c>
      <c r="I291" s="4">
        <v>199.08000000000004</v>
      </c>
      <c r="J291" s="4">
        <v>144.35</v>
      </c>
      <c r="K291" s="4"/>
      <c r="L291" s="4">
        <v>110</v>
      </c>
      <c r="M291" s="5">
        <v>46212.000694444447</v>
      </c>
      <c r="N291" s="5"/>
      <c r="O291" s="3" t="s">
        <v>59</v>
      </c>
      <c r="P291" s="4">
        <f t="shared" si="8"/>
        <v>-1.84</v>
      </c>
      <c r="Q291" s="6">
        <f t="shared" si="9"/>
        <v>0</v>
      </c>
      <c r="R291" s="3" t="s">
        <v>62</v>
      </c>
    </row>
    <row r="292" spans="1:18">
      <c r="A292" s="2">
        <v>46215</v>
      </c>
      <c r="B292" s="3" t="s">
        <v>18</v>
      </c>
      <c r="C292" s="3" t="s">
        <v>3</v>
      </c>
      <c r="D292" s="3">
        <v>2</v>
      </c>
      <c r="E292" s="3"/>
      <c r="F292" s="4">
        <v>110</v>
      </c>
      <c r="G292" s="4">
        <v>1.87</v>
      </c>
      <c r="H292" s="4">
        <v>1.53</v>
      </c>
      <c r="I292" s="4">
        <v>199.44000000000005</v>
      </c>
      <c r="J292" s="4">
        <v>155.63999999999999</v>
      </c>
      <c r="K292" s="4"/>
      <c r="L292" s="4">
        <v>0</v>
      </c>
      <c r="M292" s="5"/>
      <c r="N292" s="5"/>
      <c r="O292" s="3"/>
      <c r="P292" s="4">
        <f t="shared" si="8"/>
        <v>-0.34000000000000008</v>
      </c>
      <c r="Q292" s="6">
        <f t="shared" si="9"/>
        <v>0.81818181818181812</v>
      </c>
      <c r="R292" s="3" t="s">
        <v>62</v>
      </c>
    </row>
    <row r="293" spans="1:18">
      <c r="A293" s="2">
        <v>46215</v>
      </c>
      <c r="B293" s="3" t="s">
        <v>18</v>
      </c>
      <c r="C293" s="3" t="s">
        <v>3</v>
      </c>
      <c r="D293" s="3">
        <v>3</v>
      </c>
      <c r="E293" s="3"/>
      <c r="F293" s="4">
        <v>210</v>
      </c>
      <c r="G293" s="4">
        <v>3.67</v>
      </c>
      <c r="H293" s="4">
        <v>3.48</v>
      </c>
      <c r="I293" s="4">
        <v>402.04000000000019</v>
      </c>
      <c r="J293" s="4">
        <v>334.86</v>
      </c>
      <c r="K293" s="4"/>
      <c r="L293" s="4">
        <v>0</v>
      </c>
      <c r="M293" s="5"/>
      <c r="N293" s="5"/>
      <c r="O293" s="3"/>
      <c r="P293" s="4">
        <f t="shared" si="8"/>
        <v>-0.18999999999999995</v>
      </c>
      <c r="Q293" s="6">
        <f t="shared" si="9"/>
        <v>0.94822888283378748</v>
      </c>
      <c r="R293" s="3" t="s">
        <v>62</v>
      </c>
    </row>
    <row r="294" spans="1:18">
      <c r="A294" s="2">
        <v>46215</v>
      </c>
      <c r="B294" s="3" t="s">
        <v>18</v>
      </c>
      <c r="C294" s="3" t="s">
        <v>3</v>
      </c>
      <c r="D294" s="3">
        <v>4</v>
      </c>
      <c r="E294" s="3" t="s">
        <v>45</v>
      </c>
      <c r="F294" s="4">
        <v>210</v>
      </c>
      <c r="G294" s="4">
        <v>0</v>
      </c>
      <c r="H294" s="4">
        <v>0</v>
      </c>
      <c r="I294" s="4">
        <v>294</v>
      </c>
      <c r="J294" s="4">
        <v>163.75</v>
      </c>
      <c r="K294" s="4"/>
      <c r="L294" s="4">
        <v>210</v>
      </c>
      <c r="M294" s="5">
        <v>46208</v>
      </c>
      <c r="N294" s="5"/>
      <c r="O294" s="3" t="s">
        <v>53</v>
      </c>
      <c r="P294" s="4">
        <f t="shared" si="8"/>
        <v>0</v>
      </c>
      <c r="Q294" s="6" t="str">
        <f t="shared" si="9"/>
        <v/>
      </c>
      <c r="R294" s="3" t="s">
        <v>62</v>
      </c>
    </row>
    <row r="295" spans="1:18">
      <c r="A295" s="2">
        <v>46215</v>
      </c>
      <c r="B295" s="3" t="s">
        <v>18</v>
      </c>
      <c r="C295" s="3" t="s">
        <v>3</v>
      </c>
      <c r="D295" s="3">
        <v>5</v>
      </c>
      <c r="E295" s="3"/>
      <c r="F295" s="4">
        <v>210</v>
      </c>
      <c r="G295" s="4">
        <v>3.81</v>
      </c>
      <c r="H295" s="4">
        <v>3.78</v>
      </c>
      <c r="I295" s="4">
        <v>407.72</v>
      </c>
      <c r="J295" s="4">
        <v>341.14</v>
      </c>
      <c r="K295" s="4"/>
      <c r="L295" s="4">
        <v>0</v>
      </c>
      <c r="M295" s="5"/>
      <c r="N295" s="5"/>
      <c r="O295" s="3"/>
      <c r="P295" s="4">
        <f t="shared" si="8"/>
        <v>-3.0000000000000249E-2</v>
      </c>
      <c r="Q295" s="6">
        <f t="shared" si="9"/>
        <v>0.99212598425196841</v>
      </c>
      <c r="R295" s="3" t="s">
        <v>62</v>
      </c>
    </row>
    <row r="296" spans="1:18">
      <c r="A296" s="2">
        <v>46215</v>
      </c>
      <c r="B296" s="3" t="s">
        <v>18</v>
      </c>
      <c r="C296" s="3" t="s">
        <v>3</v>
      </c>
      <c r="D296" s="3">
        <v>6</v>
      </c>
      <c r="E296" s="3"/>
      <c r="F296" s="4">
        <v>195</v>
      </c>
      <c r="G296" s="4">
        <v>3.84</v>
      </c>
      <c r="H296" s="4">
        <v>3.83</v>
      </c>
      <c r="I296" s="4">
        <v>417.0799999999997</v>
      </c>
      <c r="J296" s="4">
        <v>403.64</v>
      </c>
      <c r="K296" s="4"/>
      <c r="L296" s="4">
        <v>0</v>
      </c>
      <c r="M296" s="5"/>
      <c r="N296" s="5"/>
      <c r="O296" s="3"/>
      <c r="P296" s="4">
        <f t="shared" si="8"/>
        <v>-9.9999999999997868E-3</v>
      </c>
      <c r="Q296" s="6">
        <f t="shared" si="9"/>
        <v>0.99739583333333337</v>
      </c>
      <c r="R296" s="3" t="s">
        <v>62</v>
      </c>
    </row>
    <row r="297" spans="1:18">
      <c r="A297" s="2">
        <v>46215</v>
      </c>
      <c r="B297" s="3" t="s">
        <v>18</v>
      </c>
      <c r="C297" s="3" t="s">
        <v>3</v>
      </c>
      <c r="D297" s="3">
        <v>7</v>
      </c>
      <c r="E297" s="3"/>
      <c r="F297" s="4">
        <v>195</v>
      </c>
      <c r="G297" s="4">
        <v>0</v>
      </c>
      <c r="H297" s="4">
        <v>3.89</v>
      </c>
      <c r="I297" s="4">
        <v>369</v>
      </c>
      <c r="J297" s="4">
        <v>363.72</v>
      </c>
      <c r="K297" s="4"/>
      <c r="L297" s="4">
        <v>0</v>
      </c>
      <c r="M297" s="5"/>
      <c r="N297" s="5"/>
      <c r="O297" s="3"/>
      <c r="P297" s="4">
        <f t="shared" si="8"/>
        <v>3.89</v>
      </c>
      <c r="Q297" s="6" t="str">
        <f t="shared" si="9"/>
        <v/>
      </c>
      <c r="R297" s="3" t="s">
        <v>62</v>
      </c>
    </row>
    <row r="298" spans="1:18" hidden="1">
      <c r="A298" s="2">
        <v>46216</v>
      </c>
      <c r="B298" s="3" t="s">
        <v>18</v>
      </c>
      <c r="C298" s="3" t="s">
        <v>19</v>
      </c>
      <c r="D298" s="3"/>
      <c r="E298" s="3"/>
      <c r="F298" s="4">
        <v>1240</v>
      </c>
      <c r="G298" s="4">
        <v>15.03</v>
      </c>
      <c r="H298" s="4">
        <v>17.419999999999998</v>
      </c>
      <c r="I298" s="4">
        <v>2303.39</v>
      </c>
      <c r="J298" s="4">
        <v>1924.52</v>
      </c>
      <c r="K298" s="4">
        <v>15</v>
      </c>
      <c r="L298" s="4">
        <v>320</v>
      </c>
      <c r="M298" s="5"/>
      <c r="N298" s="5"/>
      <c r="O298" s="3"/>
      <c r="P298" s="4">
        <f t="shared" si="8"/>
        <v>2.3899999999999988</v>
      </c>
      <c r="Q298" s="6">
        <f t="shared" si="9"/>
        <v>1.1590153027278776</v>
      </c>
      <c r="R298" s="3" t="s">
        <v>63</v>
      </c>
    </row>
    <row r="299" spans="1:18" ht="27.6">
      <c r="A299" s="2">
        <v>46216</v>
      </c>
      <c r="B299" s="3" t="s">
        <v>18</v>
      </c>
      <c r="C299" s="3" t="s">
        <v>3</v>
      </c>
      <c r="D299" s="3">
        <v>1</v>
      </c>
      <c r="E299" s="3" t="s">
        <v>45</v>
      </c>
      <c r="F299" s="4">
        <v>110</v>
      </c>
      <c r="G299" s="4">
        <v>1.84</v>
      </c>
      <c r="H299" s="4">
        <v>0</v>
      </c>
      <c r="I299" s="4">
        <v>200.92000000000004</v>
      </c>
      <c r="J299" s="4">
        <v>144.35</v>
      </c>
      <c r="K299" s="4"/>
      <c r="L299" s="4">
        <v>110</v>
      </c>
      <c r="M299" s="5">
        <v>46212.000694444447</v>
      </c>
      <c r="N299" s="5"/>
      <c r="O299" s="3" t="s">
        <v>59</v>
      </c>
      <c r="P299" s="4">
        <f t="shared" si="8"/>
        <v>-1.84</v>
      </c>
      <c r="Q299" s="6">
        <f t="shared" si="9"/>
        <v>0</v>
      </c>
      <c r="R299" s="3" t="s">
        <v>63</v>
      </c>
    </row>
    <row r="300" spans="1:18">
      <c r="A300" s="2">
        <v>46216</v>
      </c>
      <c r="B300" s="3" t="s">
        <v>18</v>
      </c>
      <c r="C300" s="3" t="s">
        <v>3</v>
      </c>
      <c r="D300" s="3">
        <v>2</v>
      </c>
      <c r="E300" s="3"/>
      <c r="F300" s="4">
        <v>110</v>
      </c>
      <c r="G300" s="4">
        <v>1.87</v>
      </c>
      <c r="H300" s="4">
        <v>1.69</v>
      </c>
      <c r="I300" s="4">
        <v>201.31000000000006</v>
      </c>
      <c r="J300" s="4">
        <v>157.33000000000001</v>
      </c>
      <c r="K300" s="4"/>
      <c r="L300" s="4">
        <v>0</v>
      </c>
      <c r="M300" s="5"/>
      <c r="N300" s="5"/>
      <c r="O300" s="3"/>
      <c r="P300" s="4">
        <f t="shared" si="8"/>
        <v>-0.18000000000000016</v>
      </c>
      <c r="Q300" s="6">
        <f t="shared" si="9"/>
        <v>0.90374331550802134</v>
      </c>
      <c r="R300" s="3" t="s">
        <v>63</v>
      </c>
    </row>
    <row r="301" spans="1:18">
      <c r="A301" s="2">
        <v>46216</v>
      </c>
      <c r="B301" s="3" t="s">
        <v>18</v>
      </c>
      <c r="C301" s="3" t="s">
        <v>3</v>
      </c>
      <c r="D301" s="3">
        <v>3</v>
      </c>
      <c r="E301" s="3"/>
      <c r="F301" s="4">
        <v>210</v>
      </c>
      <c r="G301" s="4">
        <v>3.67</v>
      </c>
      <c r="H301" s="4">
        <v>3.69</v>
      </c>
      <c r="I301" s="4">
        <v>405.71000000000021</v>
      </c>
      <c r="J301" s="4">
        <v>338.55</v>
      </c>
      <c r="K301" s="4"/>
      <c r="L301" s="4">
        <v>0</v>
      </c>
      <c r="M301" s="5"/>
      <c r="N301" s="5"/>
      <c r="O301" s="3"/>
      <c r="P301" s="4">
        <f t="shared" si="8"/>
        <v>2.0000000000000018E-2</v>
      </c>
      <c r="Q301" s="6">
        <f t="shared" si="9"/>
        <v>1.005449591280654</v>
      </c>
      <c r="R301" s="3" t="s">
        <v>63</v>
      </c>
    </row>
    <row r="302" spans="1:18">
      <c r="A302" s="2">
        <v>46216</v>
      </c>
      <c r="B302" s="3" t="s">
        <v>18</v>
      </c>
      <c r="C302" s="3" t="s">
        <v>3</v>
      </c>
      <c r="D302" s="3">
        <v>4</v>
      </c>
      <c r="E302" s="3" t="s">
        <v>45</v>
      </c>
      <c r="F302" s="4">
        <v>210</v>
      </c>
      <c r="G302" s="4">
        <v>0</v>
      </c>
      <c r="H302" s="4">
        <v>0</v>
      </c>
      <c r="I302" s="4">
        <v>294</v>
      </c>
      <c r="J302" s="4">
        <v>163.75</v>
      </c>
      <c r="K302" s="4"/>
      <c r="L302" s="4">
        <v>210</v>
      </c>
      <c r="M302" s="5">
        <v>46208</v>
      </c>
      <c r="N302" s="5"/>
      <c r="O302" s="3" t="s">
        <v>53</v>
      </c>
      <c r="P302" s="4">
        <f t="shared" si="8"/>
        <v>0</v>
      </c>
      <c r="Q302" s="6" t="str">
        <f t="shared" si="9"/>
        <v/>
      </c>
      <c r="R302" s="3" t="s">
        <v>63</v>
      </c>
    </row>
    <row r="303" spans="1:18">
      <c r="A303" s="2">
        <v>46216</v>
      </c>
      <c r="B303" s="3" t="s">
        <v>18</v>
      </c>
      <c r="C303" s="3" t="s">
        <v>3</v>
      </c>
      <c r="D303" s="3">
        <v>5</v>
      </c>
      <c r="E303" s="3"/>
      <c r="F303" s="4">
        <v>210</v>
      </c>
      <c r="G303" s="4">
        <v>3.81</v>
      </c>
      <c r="H303" s="4">
        <v>4.0199999999999996</v>
      </c>
      <c r="I303" s="4">
        <v>411.53000000000003</v>
      </c>
      <c r="J303" s="4">
        <v>345.16</v>
      </c>
      <c r="K303" s="4"/>
      <c r="L303" s="4">
        <v>0</v>
      </c>
      <c r="M303" s="5"/>
      <c r="N303" s="5"/>
      <c r="O303" s="3"/>
      <c r="P303" s="4">
        <f t="shared" si="8"/>
        <v>0.20999999999999952</v>
      </c>
      <c r="Q303" s="6">
        <f t="shared" si="9"/>
        <v>1.0551181102362204</v>
      </c>
      <c r="R303" s="3" t="s">
        <v>63</v>
      </c>
    </row>
    <row r="304" spans="1:18">
      <c r="A304" s="2">
        <v>46216</v>
      </c>
      <c r="B304" s="3" t="s">
        <v>18</v>
      </c>
      <c r="C304" s="3" t="s">
        <v>3</v>
      </c>
      <c r="D304" s="3">
        <v>6</v>
      </c>
      <c r="E304" s="3"/>
      <c r="F304" s="4">
        <v>195</v>
      </c>
      <c r="G304" s="4">
        <v>3.84</v>
      </c>
      <c r="H304" s="4">
        <v>3.85</v>
      </c>
      <c r="I304" s="4">
        <v>420.91999999999967</v>
      </c>
      <c r="J304" s="4">
        <v>407.49</v>
      </c>
      <c r="K304" s="4"/>
      <c r="L304" s="4">
        <v>0</v>
      </c>
      <c r="M304" s="5"/>
      <c r="N304" s="5"/>
      <c r="O304" s="3"/>
      <c r="P304" s="4">
        <f t="shared" si="8"/>
        <v>1.0000000000000231E-2</v>
      </c>
      <c r="Q304" s="6">
        <f t="shared" si="9"/>
        <v>1.0026041666666667</v>
      </c>
      <c r="R304" s="3" t="s">
        <v>63</v>
      </c>
    </row>
    <row r="305" spans="1:18">
      <c r="A305" s="2">
        <v>46216</v>
      </c>
      <c r="B305" s="3" t="s">
        <v>18</v>
      </c>
      <c r="C305" s="3" t="s">
        <v>3</v>
      </c>
      <c r="D305" s="3">
        <v>7</v>
      </c>
      <c r="E305" s="3"/>
      <c r="F305" s="4">
        <v>195</v>
      </c>
      <c r="G305" s="4">
        <v>0</v>
      </c>
      <c r="H305" s="4">
        <v>4.17</v>
      </c>
      <c r="I305" s="4">
        <v>369</v>
      </c>
      <c r="J305" s="4">
        <v>367.89</v>
      </c>
      <c r="K305" s="4"/>
      <c r="L305" s="4">
        <v>0</v>
      </c>
      <c r="M305" s="5"/>
      <c r="N305" s="5"/>
      <c r="O305" s="3"/>
      <c r="P305" s="4">
        <f t="shared" si="8"/>
        <v>4.17</v>
      </c>
      <c r="Q305" s="6" t="str">
        <f t="shared" si="9"/>
        <v/>
      </c>
      <c r="R305" s="3" t="s">
        <v>63</v>
      </c>
    </row>
    <row r="306" spans="1:18" hidden="1">
      <c r="A306" s="2">
        <v>46217</v>
      </c>
      <c r="B306" s="3" t="s">
        <v>18</v>
      </c>
      <c r="C306" s="3" t="s">
        <v>19</v>
      </c>
      <c r="D306" s="3"/>
      <c r="E306" s="3"/>
      <c r="F306" s="4">
        <v>1240</v>
      </c>
      <c r="G306" s="4">
        <v>15.03</v>
      </c>
      <c r="H306" s="4">
        <v>17.59</v>
      </c>
      <c r="I306" s="4">
        <v>2318.42</v>
      </c>
      <c r="J306" s="4">
        <v>1942.11</v>
      </c>
      <c r="K306" s="4">
        <v>15</v>
      </c>
      <c r="L306" s="4">
        <v>320</v>
      </c>
      <c r="M306" s="5"/>
      <c r="N306" s="5"/>
      <c r="O306" s="3"/>
      <c r="P306" s="4">
        <f t="shared" si="8"/>
        <v>2.5600000000000005</v>
      </c>
      <c r="Q306" s="6">
        <f t="shared" si="9"/>
        <v>1.1703260146373919</v>
      </c>
      <c r="R306" s="3" t="s">
        <v>64</v>
      </c>
    </row>
    <row r="307" spans="1:18" ht="27.6">
      <c r="A307" s="2">
        <v>46217</v>
      </c>
      <c r="B307" s="3" t="s">
        <v>18</v>
      </c>
      <c r="C307" s="3" t="s">
        <v>3</v>
      </c>
      <c r="D307" s="3">
        <v>1</v>
      </c>
      <c r="E307" s="3" t="s">
        <v>45</v>
      </c>
      <c r="F307" s="4">
        <v>110</v>
      </c>
      <c r="G307" s="4">
        <v>1.84</v>
      </c>
      <c r="H307" s="4">
        <v>0</v>
      </c>
      <c r="I307" s="4">
        <v>202.76000000000005</v>
      </c>
      <c r="J307" s="4">
        <v>144.35</v>
      </c>
      <c r="K307" s="4"/>
      <c r="L307" s="4">
        <v>110</v>
      </c>
      <c r="M307" s="5">
        <v>46212.000694444447</v>
      </c>
      <c r="N307" s="5"/>
      <c r="O307" s="3" t="s">
        <v>59</v>
      </c>
      <c r="P307" s="4">
        <f t="shared" si="8"/>
        <v>-1.84</v>
      </c>
      <c r="Q307" s="6">
        <f t="shared" si="9"/>
        <v>0</v>
      </c>
      <c r="R307" s="3" t="s">
        <v>64</v>
      </c>
    </row>
    <row r="308" spans="1:18">
      <c r="A308" s="2">
        <v>46217</v>
      </c>
      <c r="B308" s="3" t="s">
        <v>18</v>
      </c>
      <c r="C308" s="3" t="s">
        <v>3</v>
      </c>
      <c r="D308" s="3">
        <v>2</v>
      </c>
      <c r="E308" s="3"/>
      <c r="F308" s="4">
        <v>110</v>
      </c>
      <c r="G308" s="4">
        <v>1.87</v>
      </c>
      <c r="H308" s="4">
        <v>1.77</v>
      </c>
      <c r="I308" s="4">
        <v>203.18000000000006</v>
      </c>
      <c r="J308" s="4">
        <v>159.1</v>
      </c>
      <c r="K308" s="4"/>
      <c r="L308" s="4">
        <v>0</v>
      </c>
      <c r="M308" s="5"/>
      <c r="N308" s="5"/>
      <c r="O308" s="3"/>
      <c r="P308" s="4">
        <f t="shared" si="8"/>
        <v>-0.10000000000000009</v>
      </c>
      <c r="Q308" s="6">
        <f t="shared" si="9"/>
        <v>0.946524064171123</v>
      </c>
      <c r="R308" s="3" t="s">
        <v>64</v>
      </c>
    </row>
    <row r="309" spans="1:18">
      <c r="A309" s="2">
        <v>46217</v>
      </c>
      <c r="B309" s="3" t="s">
        <v>18</v>
      </c>
      <c r="C309" s="3" t="s">
        <v>3</v>
      </c>
      <c r="D309" s="3">
        <v>3</v>
      </c>
      <c r="E309" s="3"/>
      <c r="F309" s="4">
        <v>210</v>
      </c>
      <c r="G309" s="4">
        <v>3.67</v>
      </c>
      <c r="H309" s="4">
        <v>3.82</v>
      </c>
      <c r="I309" s="4">
        <v>409.38000000000022</v>
      </c>
      <c r="J309" s="4">
        <v>342.37</v>
      </c>
      <c r="K309" s="4"/>
      <c r="L309" s="4">
        <v>0</v>
      </c>
      <c r="M309" s="5"/>
      <c r="N309" s="5"/>
      <c r="O309" s="3"/>
      <c r="P309" s="4">
        <f t="shared" si="8"/>
        <v>0.14999999999999991</v>
      </c>
      <c r="Q309" s="6">
        <f t="shared" si="9"/>
        <v>1.0408719346049047</v>
      </c>
      <c r="R309" s="3" t="s">
        <v>64</v>
      </c>
    </row>
    <row r="310" spans="1:18">
      <c r="A310" s="2">
        <v>46217</v>
      </c>
      <c r="B310" s="3" t="s">
        <v>18</v>
      </c>
      <c r="C310" s="3" t="s">
        <v>3</v>
      </c>
      <c r="D310" s="3">
        <v>4</v>
      </c>
      <c r="E310" s="3" t="s">
        <v>45</v>
      </c>
      <c r="F310" s="4">
        <v>210</v>
      </c>
      <c r="G310" s="4">
        <v>0</v>
      </c>
      <c r="H310" s="4">
        <v>0</v>
      </c>
      <c r="I310" s="4">
        <v>294</v>
      </c>
      <c r="J310" s="4">
        <v>163.75</v>
      </c>
      <c r="K310" s="4"/>
      <c r="L310" s="4">
        <v>210</v>
      </c>
      <c r="M310" s="5">
        <v>46208</v>
      </c>
      <c r="N310" s="5"/>
      <c r="O310" s="3" t="s">
        <v>53</v>
      </c>
      <c r="P310" s="4">
        <f t="shared" si="8"/>
        <v>0</v>
      </c>
      <c r="Q310" s="6" t="str">
        <f t="shared" si="9"/>
        <v/>
      </c>
      <c r="R310" s="3" t="s">
        <v>64</v>
      </c>
    </row>
    <row r="311" spans="1:18">
      <c r="A311" s="2">
        <v>46217</v>
      </c>
      <c r="B311" s="3" t="s">
        <v>18</v>
      </c>
      <c r="C311" s="3" t="s">
        <v>3</v>
      </c>
      <c r="D311" s="3">
        <v>5</v>
      </c>
      <c r="E311" s="3"/>
      <c r="F311" s="4">
        <v>210</v>
      </c>
      <c r="G311" s="4">
        <v>3.81</v>
      </c>
      <c r="H311" s="4">
        <v>4.1100000000000003</v>
      </c>
      <c r="I311" s="4">
        <v>415.34000000000003</v>
      </c>
      <c r="J311" s="4">
        <v>349.27</v>
      </c>
      <c r="K311" s="4"/>
      <c r="L311" s="4">
        <v>0</v>
      </c>
      <c r="M311" s="5"/>
      <c r="N311" s="5"/>
      <c r="O311" s="3"/>
      <c r="P311" s="4">
        <f t="shared" si="8"/>
        <v>0.30000000000000027</v>
      </c>
      <c r="Q311" s="6">
        <f t="shared" si="9"/>
        <v>1.078740157480315</v>
      </c>
      <c r="R311" s="3" t="s">
        <v>64</v>
      </c>
    </row>
    <row r="312" spans="1:18">
      <c r="A312" s="2">
        <v>46217</v>
      </c>
      <c r="B312" s="3" t="s">
        <v>18</v>
      </c>
      <c r="C312" s="3" t="s">
        <v>3</v>
      </c>
      <c r="D312" s="3">
        <v>6</v>
      </c>
      <c r="E312" s="3"/>
      <c r="F312" s="4">
        <v>195</v>
      </c>
      <c r="G312" s="4">
        <v>3.84</v>
      </c>
      <c r="H312" s="4">
        <v>3.71</v>
      </c>
      <c r="I312" s="4">
        <v>424.75999999999965</v>
      </c>
      <c r="J312" s="4">
        <v>411.2</v>
      </c>
      <c r="K312" s="4"/>
      <c r="L312" s="4">
        <v>0</v>
      </c>
      <c r="M312" s="5"/>
      <c r="N312" s="5"/>
      <c r="O312" s="3"/>
      <c r="P312" s="4">
        <f t="shared" si="8"/>
        <v>-0.12999999999999989</v>
      </c>
      <c r="Q312" s="6">
        <f t="shared" si="9"/>
        <v>0.96614583333333337</v>
      </c>
      <c r="R312" s="3" t="s">
        <v>64</v>
      </c>
    </row>
    <row r="313" spans="1:18">
      <c r="A313" s="2">
        <v>46217</v>
      </c>
      <c r="B313" s="3" t="s">
        <v>18</v>
      </c>
      <c r="C313" s="3" t="s">
        <v>3</v>
      </c>
      <c r="D313" s="3">
        <v>7</v>
      </c>
      <c r="E313" s="3"/>
      <c r="F313" s="4">
        <v>195</v>
      </c>
      <c r="G313" s="4">
        <v>0</v>
      </c>
      <c r="H313" s="4">
        <v>4.18</v>
      </c>
      <c r="I313" s="4">
        <v>369</v>
      </c>
      <c r="J313" s="4">
        <v>372.07</v>
      </c>
      <c r="K313" s="4"/>
      <c r="L313" s="4">
        <v>0</v>
      </c>
      <c r="M313" s="5"/>
      <c r="N313" s="5"/>
      <c r="O313" s="3"/>
      <c r="P313" s="4">
        <f t="shared" si="8"/>
        <v>4.18</v>
      </c>
      <c r="Q313" s="6" t="str">
        <f t="shared" si="9"/>
        <v/>
      </c>
      <c r="R313" s="3" t="s">
        <v>64</v>
      </c>
    </row>
    <row r="314" spans="1:18" hidden="1">
      <c r="A314" s="2">
        <v>46218</v>
      </c>
      <c r="B314" s="3" t="s">
        <v>18</v>
      </c>
      <c r="C314" s="3" t="s">
        <v>19</v>
      </c>
      <c r="D314" s="3"/>
      <c r="E314" s="3"/>
      <c r="F314" s="4">
        <v>1240</v>
      </c>
      <c r="G314" s="4">
        <v>15.03</v>
      </c>
      <c r="H314" s="4">
        <v>17.580000000000002</v>
      </c>
      <c r="I314" s="4">
        <v>2333.4499999999998</v>
      </c>
      <c r="J314" s="4">
        <v>1959.6899999999998</v>
      </c>
      <c r="K314" s="4">
        <v>16</v>
      </c>
      <c r="L314" s="4">
        <v>515</v>
      </c>
      <c r="M314" s="5"/>
      <c r="N314" s="5"/>
      <c r="O314" s="3"/>
      <c r="P314" s="4">
        <f t="shared" si="8"/>
        <v>2.5500000000000025</v>
      </c>
      <c r="Q314" s="6">
        <f t="shared" si="9"/>
        <v>1.1696606786427148</v>
      </c>
      <c r="R314" s="3" t="s">
        <v>65</v>
      </c>
    </row>
    <row r="315" spans="1:18" ht="27.6">
      <c r="A315" s="2">
        <v>46218</v>
      </c>
      <c r="B315" s="3" t="s">
        <v>18</v>
      </c>
      <c r="C315" s="3" t="s">
        <v>3</v>
      </c>
      <c r="D315" s="3">
        <v>1</v>
      </c>
      <c r="E315" s="3" t="s">
        <v>45</v>
      </c>
      <c r="F315" s="4">
        <v>110</v>
      </c>
      <c r="G315" s="4">
        <v>1.84</v>
      </c>
      <c r="H315" s="4">
        <v>0</v>
      </c>
      <c r="I315" s="4">
        <v>204.60000000000005</v>
      </c>
      <c r="J315" s="4">
        <v>144.35</v>
      </c>
      <c r="K315" s="4"/>
      <c r="L315" s="4">
        <v>110</v>
      </c>
      <c r="M315" s="5">
        <v>46212.000694444447</v>
      </c>
      <c r="N315" s="5"/>
      <c r="O315" s="3" t="s">
        <v>59</v>
      </c>
      <c r="P315" s="4">
        <f t="shared" si="8"/>
        <v>-1.84</v>
      </c>
      <c r="Q315" s="6">
        <f t="shared" si="9"/>
        <v>0</v>
      </c>
      <c r="R315" s="3" t="s">
        <v>65</v>
      </c>
    </row>
    <row r="316" spans="1:18">
      <c r="A316" s="2">
        <v>46218</v>
      </c>
      <c r="B316" s="3" t="s">
        <v>18</v>
      </c>
      <c r="C316" s="3" t="s">
        <v>3</v>
      </c>
      <c r="D316" s="3">
        <v>2</v>
      </c>
      <c r="E316" s="3"/>
      <c r="F316" s="4">
        <v>110</v>
      </c>
      <c r="G316" s="4">
        <v>1.87</v>
      </c>
      <c r="H316" s="4">
        <v>1.88</v>
      </c>
      <c r="I316" s="4">
        <v>205.05000000000007</v>
      </c>
      <c r="J316" s="4">
        <v>160.97999999999999</v>
      </c>
      <c r="K316" s="4"/>
      <c r="L316" s="4">
        <v>0</v>
      </c>
      <c r="M316" s="5"/>
      <c r="N316" s="5"/>
      <c r="O316" s="3"/>
      <c r="P316" s="4">
        <f t="shared" si="8"/>
        <v>9.9999999999997868E-3</v>
      </c>
      <c r="Q316" s="6">
        <f t="shared" si="9"/>
        <v>1.0053475935828875</v>
      </c>
      <c r="R316" s="3" t="s">
        <v>65</v>
      </c>
    </row>
    <row r="317" spans="1:18">
      <c r="A317" s="2">
        <v>46218</v>
      </c>
      <c r="B317" s="3" t="s">
        <v>18</v>
      </c>
      <c r="C317" s="3" t="s">
        <v>3</v>
      </c>
      <c r="D317" s="3">
        <v>3</v>
      </c>
      <c r="E317" s="3"/>
      <c r="F317" s="4">
        <v>210</v>
      </c>
      <c r="G317" s="4">
        <v>3.67</v>
      </c>
      <c r="H317" s="4">
        <v>3.86</v>
      </c>
      <c r="I317" s="4">
        <v>413.05000000000024</v>
      </c>
      <c r="J317" s="4">
        <v>346.23</v>
      </c>
      <c r="K317" s="4"/>
      <c r="L317" s="4">
        <v>0</v>
      </c>
      <c r="M317" s="5"/>
      <c r="N317" s="5"/>
      <c r="O317" s="3"/>
      <c r="P317" s="4">
        <f t="shared" si="8"/>
        <v>0.18999999999999995</v>
      </c>
      <c r="Q317" s="6">
        <f t="shared" si="9"/>
        <v>1.0517711171662125</v>
      </c>
      <c r="R317" s="3" t="s">
        <v>65</v>
      </c>
    </row>
    <row r="318" spans="1:18">
      <c r="A318" s="2">
        <v>46218</v>
      </c>
      <c r="B318" s="3" t="s">
        <v>18</v>
      </c>
      <c r="C318" s="3" t="s">
        <v>3</v>
      </c>
      <c r="D318" s="3">
        <v>4</v>
      </c>
      <c r="E318" s="3" t="s">
        <v>45</v>
      </c>
      <c r="F318" s="4">
        <v>210</v>
      </c>
      <c r="G318" s="4">
        <v>0</v>
      </c>
      <c r="H318" s="4">
        <v>0.56000000000000005</v>
      </c>
      <c r="I318" s="4">
        <v>294</v>
      </c>
      <c r="J318" s="4">
        <v>164.31</v>
      </c>
      <c r="K318" s="4"/>
      <c r="L318" s="4">
        <v>210</v>
      </c>
      <c r="M318" s="5">
        <v>46218.96597222222</v>
      </c>
      <c r="N318" s="5"/>
      <c r="O318" s="3" t="s">
        <v>66</v>
      </c>
      <c r="P318" s="4">
        <f t="shared" si="8"/>
        <v>0.56000000000000005</v>
      </c>
      <c r="Q318" s="6" t="str">
        <f t="shared" si="9"/>
        <v/>
      </c>
      <c r="R318" s="3" t="s">
        <v>65</v>
      </c>
    </row>
    <row r="319" spans="1:18">
      <c r="A319" s="2">
        <v>46218</v>
      </c>
      <c r="B319" s="3" t="s">
        <v>18</v>
      </c>
      <c r="C319" s="3" t="s">
        <v>3</v>
      </c>
      <c r="D319" s="3">
        <v>5</v>
      </c>
      <c r="E319" s="3"/>
      <c r="F319" s="4">
        <v>210</v>
      </c>
      <c r="G319" s="4">
        <v>3.81</v>
      </c>
      <c r="H319" s="4">
        <v>4.16</v>
      </c>
      <c r="I319" s="4">
        <v>419.15000000000003</v>
      </c>
      <c r="J319" s="4">
        <v>353.43</v>
      </c>
      <c r="K319" s="4"/>
      <c r="L319" s="4">
        <v>0</v>
      </c>
      <c r="M319" s="5"/>
      <c r="N319" s="5"/>
      <c r="O319" s="3"/>
      <c r="P319" s="4">
        <f t="shared" si="8"/>
        <v>0.35000000000000009</v>
      </c>
      <c r="Q319" s="6">
        <f t="shared" si="9"/>
        <v>1.0918635170603674</v>
      </c>
      <c r="R319" s="3" t="s">
        <v>65</v>
      </c>
    </row>
    <row r="320" spans="1:18">
      <c r="A320" s="2">
        <v>46218</v>
      </c>
      <c r="B320" s="3" t="s">
        <v>18</v>
      </c>
      <c r="C320" s="3" t="s">
        <v>3</v>
      </c>
      <c r="D320" s="3">
        <v>6</v>
      </c>
      <c r="E320" s="3"/>
      <c r="F320" s="4">
        <v>195</v>
      </c>
      <c r="G320" s="4">
        <v>3.84</v>
      </c>
      <c r="H320" s="4">
        <v>3.85</v>
      </c>
      <c r="I320" s="4">
        <v>428.59999999999962</v>
      </c>
      <c r="J320" s="4">
        <v>415.05</v>
      </c>
      <c r="K320" s="4"/>
      <c r="L320" s="4">
        <v>0</v>
      </c>
      <c r="M320" s="5"/>
      <c r="N320" s="5"/>
      <c r="O320" s="3"/>
      <c r="P320" s="4">
        <f t="shared" si="8"/>
        <v>1.0000000000000231E-2</v>
      </c>
      <c r="Q320" s="6">
        <f t="shared" si="9"/>
        <v>1.0026041666666667</v>
      </c>
      <c r="R320" s="3" t="s">
        <v>65</v>
      </c>
    </row>
    <row r="321" spans="1:18">
      <c r="A321" s="2">
        <v>46218</v>
      </c>
      <c r="B321" s="3" t="s">
        <v>18</v>
      </c>
      <c r="C321" s="3" t="s">
        <v>3</v>
      </c>
      <c r="D321" s="3">
        <v>7</v>
      </c>
      <c r="E321" s="3" t="s">
        <v>45</v>
      </c>
      <c r="F321" s="4">
        <v>195</v>
      </c>
      <c r="G321" s="4">
        <v>0</v>
      </c>
      <c r="H321" s="4">
        <v>3.27</v>
      </c>
      <c r="I321" s="4">
        <v>369</v>
      </c>
      <c r="J321" s="4">
        <v>375.34</v>
      </c>
      <c r="K321" s="4"/>
      <c r="L321" s="4">
        <v>195</v>
      </c>
      <c r="M321" s="5">
        <v>46218.798611111109</v>
      </c>
      <c r="N321" s="5"/>
      <c r="O321" s="3" t="s">
        <v>67</v>
      </c>
      <c r="P321" s="4">
        <f t="shared" si="8"/>
        <v>3.27</v>
      </c>
      <c r="Q321" s="6" t="str">
        <f t="shared" si="9"/>
        <v/>
      </c>
      <c r="R321" s="3" t="s">
        <v>65</v>
      </c>
    </row>
    <row r="322" spans="1:18" hidden="1">
      <c r="A322" s="2">
        <v>46219</v>
      </c>
      <c r="B322" s="3" t="s">
        <v>18</v>
      </c>
      <c r="C322" s="3" t="s">
        <v>19</v>
      </c>
      <c r="D322" s="3"/>
      <c r="E322" s="3"/>
      <c r="F322" s="4">
        <v>1240</v>
      </c>
      <c r="G322" s="4">
        <v>11.36</v>
      </c>
      <c r="H322" s="4">
        <v>14.43</v>
      </c>
      <c r="I322" s="4">
        <v>2344.81</v>
      </c>
      <c r="J322" s="4">
        <v>1974.1199999999997</v>
      </c>
      <c r="K322" s="4">
        <v>16</v>
      </c>
      <c r="L322" s="4">
        <v>515</v>
      </c>
      <c r="M322" s="5"/>
      <c r="N322" s="5"/>
      <c r="O322" s="3"/>
      <c r="P322" s="4">
        <f t="shared" ref="P322:P361" si="10">IF(OR(G322="",H322=""),"",H322-G322)</f>
        <v>3.0700000000000003</v>
      </c>
      <c r="Q322" s="6">
        <f t="shared" ref="Q322:Q361" si="11">IF(OR(G322="",G322=0,H322=""),"",H322/G322)</f>
        <v>1.2702464788732395</v>
      </c>
      <c r="R322" s="3" t="s">
        <v>68</v>
      </c>
    </row>
    <row r="323" spans="1:18" ht="27.6">
      <c r="A323" s="2">
        <v>46219</v>
      </c>
      <c r="B323" s="3" t="s">
        <v>18</v>
      </c>
      <c r="C323" s="3" t="s">
        <v>3</v>
      </c>
      <c r="D323" s="3">
        <v>1</v>
      </c>
      <c r="E323" s="3" t="s">
        <v>45</v>
      </c>
      <c r="F323" s="4">
        <v>110</v>
      </c>
      <c r="G323" s="4">
        <v>1.84</v>
      </c>
      <c r="H323" s="4">
        <v>0</v>
      </c>
      <c r="I323" s="4">
        <v>206.44000000000005</v>
      </c>
      <c r="J323" s="4">
        <v>144.35</v>
      </c>
      <c r="K323" s="4"/>
      <c r="L323" s="4">
        <v>110</v>
      </c>
      <c r="M323" s="5">
        <v>46212.000694444447</v>
      </c>
      <c r="N323" s="5"/>
      <c r="O323" s="3" t="s">
        <v>59</v>
      </c>
      <c r="P323" s="4">
        <f t="shared" si="10"/>
        <v>-1.84</v>
      </c>
      <c r="Q323" s="6">
        <f t="shared" si="11"/>
        <v>0</v>
      </c>
      <c r="R323" s="3" t="s">
        <v>68</v>
      </c>
    </row>
    <row r="324" spans="1:18">
      <c r="A324" s="2">
        <v>46219</v>
      </c>
      <c r="B324" s="3" t="s">
        <v>18</v>
      </c>
      <c r="C324" s="3" t="s">
        <v>3</v>
      </c>
      <c r="D324" s="3">
        <v>2</v>
      </c>
      <c r="E324" s="3"/>
      <c r="F324" s="4">
        <v>110</v>
      </c>
      <c r="G324" s="4">
        <v>1.87</v>
      </c>
      <c r="H324" s="4">
        <v>1.93</v>
      </c>
      <c r="I324" s="4">
        <v>206.92000000000007</v>
      </c>
      <c r="J324" s="4">
        <v>162.91</v>
      </c>
      <c r="K324" s="4"/>
      <c r="L324" s="4">
        <v>0</v>
      </c>
      <c r="M324" s="5"/>
      <c r="N324" s="5"/>
      <c r="O324" s="3"/>
      <c r="P324" s="4">
        <f t="shared" si="10"/>
        <v>5.9999999999999831E-2</v>
      </c>
      <c r="Q324" s="6">
        <f t="shared" si="11"/>
        <v>1.0320855614973261</v>
      </c>
      <c r="R324" s="3" t="s">
        <v>68</v>
      </c>
    </row>
    <row r="325" spans="1:18">
      <c r="A325" s="2">
        <v>46219</v>
      </c>
      <c r="B325" s="3" t="s">
        <v>18</v>
      </c>
      <c r="C325" s="3" t="s">
        <v>3</v>
      </c>
      <c r="D325" s="3">
        <v>3</v>
      </c>
      <c r="E325" s="3"/>
      <c r="F325" s="4">
        <v>210</v>
      </c>
      <c r="G325" s="4">
        <v>0</v>
      </c>
      <c r="H325" s="4">
        <v>4</v>
      </c>
      <c r="I325" s="4">
        <v>413.05000000000024</v>
      </c>
      <c r="J325" s="4">
        <v>350.23</v>
      </c>
      <c r="K325" s="4"/>
      <c r="L325" s="4">
        <v>0</v>
      </c>
      <c r="M325" s="5"/>
      <c r="N325" s="5"/>
      <c r="O325" s="3"/>
      <c r="P325" s="4">
        <f t="shared" si="10"/>
        <v>4</v>
      </c>
      <c r="Q325" s="6" t="str">
        <f t="shared" si="11"/>
        <v/>
      </c>
      <c r="R325" s="3" t="s">
        <v>68</v>
      </c>
    </row>
    <row r="326" spans="1:18">
      <c r="A326" s="2">
        <v>46219</v>
      </c>
      <c r="B326" s="3" t="s">
        <v>18</v>
      </c>
      <c r="C326" s="3" t="s">
        <v>3</v>
      </c>
      <c r="D326" s="3">
        <v>4</v>
      </c>
      <c r="E326" s="3" t="s">
        <v>45</v>
      </c>
      <c r="F326" s="4">
        <v>210</v>
      </c>
      <c r="G326" s="4">
        <v>0</v>
      </c>
      <c r="H326" s="4">
        <v>0.25</v>
      </c>
      <c r="I326" s="4">
        <v>294</v>
      </c>
      <c r="J326" s="4">
        <v>164.56</v>
      </c>
      <c r="K326" s="4"/>
      <c r="L326" s="4">
        <v>210</v>
      </c>
      <c r="M326" s="5">
        <v>46219.957638888889</v>
      </c>
      <c r="N326" s="5"/>
      <c r="O326" s="3" t="s">
        <v>53</v>
      </c>
      <c r="P326" s="4">
        <f t="shared" si="10"/>
        <v>0.25</v>
      </c>
      <c r="Q326" s="6" t="str">
        <f t="shared" si="11"/>
        <v/>
      </c>
      <c r="R326" s="3" t="s">
        <v>68</v>
      </c>
    </row>
    <row r="327" spans="1:18">
      <c r="A327" s="2">
        <v>46219</v>
      </c>
      <c r="B327" s="3" t="s">
        <v>18</v>
      </c>
      <c r="C327" s="3" t="s">
        <v>3</v>
      </c>
      <c r="D327" s="3">
        <v>5</v>
      </c>
      <c r="E327" s="3"/>
      <c r="F327" s="4">
        <v>210</v>
      </c>
      <c r="G327" s="4">
        <v>3.81</v>
      </c>
      <c r="H327" s="4">
        <v>4.41</v>
      </c>
      <c r="I327" s="4">
        <v>422.96000000000004</v>
      </c>
      <c r="J327" s="4">
        <v>357.84</v>
      </c>
      <c r="K327" s="4"/>
      <c r="L327" s="4">
        <v>0</v>
      </c>
      <c r="M327" s="5"/>
      <c r="N327" s="5"/>
      <c r="O327" s="3"/>
      <c r="P327" s="4">
        <f t="shared" si="10"/>
        <v>0.60000000000000009</v>
      </c>
      <c r="Q327" s="6">
        <f t="shared" si="11"/>
        <v>1.1574803149606299</v>
      </c>
      <c r="R327" s="3" t="s">
        <v>68</v>
      </c>
    </row>
    <row r="328" spans="1:18">
      <c r="A328" s="2">
        <v>46219</v>
      </c>
      <c r="B328" s="3" t="s">
        <v>18</v>
      </c>
      <c r="C328" s="3" t="s">
        <v>3</v>
      </c>
      <c r="D328" s="3">
        <v>6</v>
      </c>
      <c r="E328" s="3"/>
      <c r="F328" s="4">
        <v>195</v>
      </c>
      <c r="G328" s="4">
        <v>3.84</v>
      </c>
      <c r="H328" s="4">
        <v>3.84</v>
      </c>
      <c r="I328" s="4">
        <v>432.4399999999996</v>
      </c>
      <c r="J328" s="4">
        <v>418.89</v>
      </c>
      <c r="K328" s="4"/>
      <c r="L328" s="4">
        <v>0</v>
      </c>
      <c r="M328" s="5"/>
      <c r="N328" s="5"/>
      <c r="O328" s="3"/>
      <c r="P328" s="4">
        <f t="shared" si="10"/>
        <v>0</v>
      </c>
      <c r="Q328" s="6">
        <f t="shared" si="11"/>
        <v>1</v>
      </c>
      <c r="R328" s="3" t="s">
        <v>68</v>
      </c>
    </row>
    <row r="329" spans="1:18">
      <c r="A329" s="2">
        <v>46219</v>
      </c>
      <c r="B329" s="3" t="s">
        <v>18</v>
      </c>
      <c r="C329" s="3" t="s">
        <v>3</v>
      </c>
      <c r="D329" s="3">
        <v>7</v>
      </c>
      <c r="E329" s="3" t="s">
        <v>45</v>
      </c>
      <c r="F329" s="4">
        <v>195</v>
      </c>
      <c r="G329" s="4">
        <v>0</v>
      </c>
      <c r="H329" s="4">
        <v>0</v>
      </c>
      <c r="I329" s="4">
        <v>369</v>
      </c>
      <c r="J329" s="4">
        <v>375.34</v>
      </c>
      <c r="K329" s="4"/>
      <c r="L329" s="4">
        <v>195</v>
      </c>
      <c r="M329" s="5">
        <v>46218.798611111109</v>
      </c>
      <c r="N329" s="5"/>
      <c r="O329" s="3" t="s">
        <v>67</v>
      </c>
      <c r="P329" s="4">
        <f t="shared" si="10"/>
        <v>0</v>
      </c>
      <c r="Q329" s="6" t="str">
        <f t="shared" si="11"/>
        <v/>
      </c>
      <c r="R329" s="3" t="s">
        <v>68</v>
      </c>
    </row>
    <row r="330" spans="1:18" hidden="1">
      <c r="A330" s="2">
        <v>46220</v>
      </c>
      <c r="B330" s="3" t="s">
        <v>18</v>
      </c>
      <c r="C330" s="3" t="s">
        <v>19</v>
      </c>
      <c r="D330" s="3"/>
      <c r="E330" s="3"/>
      <c r="F330" s="4">
        <v>1240</v>
      </c>
      <c r="G330" s="4">
        <v>11.36</v>
      </c>
      <c r="H330" s="4">
        <v>14.86</v>
      </c>
      <c r="I330" s="4">
        <v>2356.17</v>
      </c>
      <c r="J330" s="4">
        <v>1988.9799999999998</v>
      </c>
      <c r="K330" s="4">
        <v>16</v>
      </c>
      <c r="L330" s="4">
        <v>515</v>
      </c>
      <c r="M330" s="5"/>
      <c r="N330" s="5"/>
      <c r="O330" s="3"/>
      <c r="P330" s="4">
        <f t="shared" si="10"/>
        <v>3.5</v>
      </c>
      <c r="Q330" s="6">
        <f t="shared" si="11"/>
        <v>1.3080985915492958</v>
      </c>
      <c r="R330" s="3" t="s">
        <v>69</v>
      </c>
    </row>
    <row r="331" spans="1:18" ht="27.6">
      <c r="A331" s="2">
        <v>46220</v>
      </c>
      <c r="B331" s="3" t="s">
        <v>18</v>
      </c>
      <c r="C331" s="3" t="s">
        <v>3</v>
      </c>
      <c r="D331" s="3">
        <v>1</v>
      </c>
      <c r="E331" s="3" t="s">
        <v>45</v>
      </c>
      <c r="F331" s="4">
        <v>110</v>
      </c>
      <c r="G331" s="4">
        <v>1.84</v>
      </c>
      <c r="H331" s="4">
        <v>0</v>
      </c>
      <c r="I331" s="4">
        <v>208.28000000000006</v>
      </c>
      <c r="J331" s="4">
        <v>144.35</v>
      </c>
      <c r="K331" s="4"/>
      <c r="L331" s="4">
        <v>110</v>
      </c>
      <c r="M331" s="5">
        <v>46212.000694444447</v>
      </c>
      <c r="N331" s="5"/>
      <c r="O331" s="3" t="s">
        <v>59</v>
      </c>
      <c r="P331" s="4">
        <f t="shared" si="10"/>
        <v>-1.84</v>
      </c>
      <c r="Q331" s="6">
        <f t="shared" si="11"/>
        <v>0</v>
      </c>
      <c r="R331" s="3" t="s">
        <v>69</v>
      </c>
    </row>
    <row r="332" spans="1:18">
      <c r="A332" s="2">
        <v>46220</v>
      </c>
      <c r="B332" s="3" t="s">
        <v>18</v>
      </c>
      <c r="C332" s="3" t="s">
        <v>3</v>
      </c>
      <c r="D332" s="3">
        <v>2</v>
      </c>
      <c r="E332" s="3"/>
      <c r="F332" s="4">
        <v>110</v>
      </c>
      <c r="G332" s="4">
        <v>1.87</v>
      </c>
      <c r="H332" s="4">
        <v>1.89</v>
      </c>
      <c r="I332" s="4">
        <v>208.79000000000008</v>
      </c>
      <c r="J332" s="4">
        <v>164.8</v>
      </c>
      <c r="K332" s="4"/>
      <c r="L332" s="4">
        <v>0</v>
      </c>
      <c r="M332" s="5"/>
      <c r="N332" s="5"/>
      <c r="O332" s="3"/>
      <c r="P332" s="4">
        <f t="shared" si="10"/>
        <v>1.9999999999999796E-2</v>
      </c>
      <c r="Q332" s="6">
        <f t="shared" si="11"/>
        <v>1.0106951871657752</v>
      </c>
      <c r="R332" s="3" t="s">
        <v>69</v>
      </c>
    </row>
    <row r="333" spans="1:18">
      <c r="A333" s="2">
        <v>46220</v>
      </c>
      <c r="B333" s="3" t="s">
        <v>18</v>
      </c>
      <c r="C333" s="3" t="s">
        <v>3</v>
      </c>
      <c r="D333" s="3">
        <v>3</v>
      </c>
      <c r="E333" s="3"/>
      <c r="F333" s="4">
        <v>210</v>
      </c>
      <c r="G333" s="4">
        <v>0</v>
      </c>
      <c r="H333" s="4">
        <v>3.95</v>
      </c>
      <c r="I333" s="4">
        <v>413.05000000000024</v>
      </c>
      <c r="J333" s="4">
        <v>354.18</v>
      </c>
      <c r="K333" s="4"/>
      <c r="L333" s="4">
        <v>0</v>
      </c>
      <c r="M333" s="5"/>
      <c r="N333" s="5"/>
      <c r="O333" s="3"/>
      <c r="P333" s="4">
        <f t="shared" si="10"/>
        <v>3.95</v>
      </c>
      <c r="Q333" s="6" t="str">
        <f t="shared" si="11"/>
        <v/>
      </c>
      <c r="R333" s="3" t="s">
        <v>69</v>
      </c>
    </row>
    <row r="334" spans="1:18" ht="27.6">
      <c r="A334" s="2">
        <v>46220</v>
      </c>
      <c r="B334" s="3" t="s">
        <v>18</v>
      </c>
      <c r="C334" s="3" t="s">
        <v>3</v>
      </c>
      <c r="D334" s="3">
        <v>4</v>
      </c>
      <c r="E334" s="3" t="s">
        <v>45</v>
      </c>
      <c r="F334" s="4">
        <v>210</v>
      </c>
      <c r="G334" s="4">
        <v>0</v>
      </c>
      <c r="H334" s="4">
        <v>0.13</v>
      </c>
      <c r="I334" s="4">
        <v>294</v>
      </c>
      <c r="J334" s="4">
        <v>164.69</v>
      </c>
      <c r="K334" s="4"/>
      <c r="L334" s="4">
        <v>210</v>
      </c>
      <c r="M334" s="5">
        <v>46220.896527777775</v>
      </c>
      <c r="N334" s="5"/>
      <c r="O334" s="3" t="s">
        <v>59</v>
      </c>
      <c r="P334" s="4">
        <f t="shared" si="10"/>
        <v>0.13</v>
      </c>
      <c r="Q334" s="6" t="str">
        <f t="shared" si="11"/>
        <v/>
      </c>
      <c r="R334" s="3" t="s">
        <v>69</v>
      </c>
    </row>
    <row r="335" spans="1:18">
      <c r="A335" s="2">
        <v>46220</v>
      </c>
      <c r="B335" s="3" t="s">
        <v>18</v>
      </c>
      <c r="C335" s="3" t="s">
        <v>3</v>
      </c>
      <c r="D335" s="3">
        <v>5</v>
      </c>
      <c r="E335" s="3"/>
      <c r="F335" s="4">
        <v>210</v>
      </c>
      <c r="G335" s="4">
        <v>3.81</v>
      </c>
      <c r="H335" s="4">
        <v>4.13</v>
      </c>
      <c r="I335" s="4">
        <v>426.77000000000004</v>
      </c>
      <c r="J335" s="4">
        <v>361.97</v>
      </c>
      <c r="K335" s="4"/>
      <c r="L335" s="4">
        <v>0</v>
      </c>
      <c r="M335" s="5"/>
      <c r="N335" s="5"/>
      <c r="O335" s="3"/>
      <c r="P335" s="4">
        <f t="shared" si="10"/>
        <v>0.31999999999999984</v>
      </c>
      <c r="Q335" s="6">
        <f t="shared" si="11"/>
        <v>1.083989501312336</v>
      </c>
      <c r="R335" s="3" t="s">
        <v>69</v>
      </c>
    </row>
    <row r="336" spans="1:18">
      <c r="A336" s="2">
        <v>46220</v>
      </c>
      <c r="B336" s="3" t="s">
        <v>18</v>
      </c>
      <c r="C336" s="3" t="s">
        <v>3</v>
      </c>
      <c r="D336" s="3">
        <v>6</v>
      </c>
      <c r="E336" s="3"/>
      <c r="F336" s="4">
        <v>195</v>
      </c>
      <c r="G336" s="4">
        <v>3.84</v>
      </c>
      <c r="H336" s="4">
        <v>4.01</v>
      </c>
      <c r="I336" s="4">
        <v>436.27999999999957</v>
      </c>
      <c r="J336" s="4">
        <v>422.9</v>
      </c>
      <c r="K336" s="4"/>
      <c r="L336" s="4">
        <v>0</v>
      </c>
      <c r="M336" s="5"/>
      <c r="N336" s="5"/>
      <c r="O336" s="3"/>
      <c r="P336" s="4">
        <f t="shared" si="10"/>
        <v>0.16999999999999993</v>
      </c>
      <c r="Q336" s="6">
        <f t="shared" si="11"/>
        <v>1.0442708333333333</v>
      </c>
      <c r="R336" s="3" t="s">
        <v>69</v>
      </c>
    </row>
    <row r="337" spans="1:18">
      <c r="A337" s="2">
        <v>46220</v>
      </c>
      <c r="B337" s="3" t="s">
        <v>18</v>
      </c>
      <c r="C337" s="3" t="s">
        <v>3</v>
      </c>
      <c r="D337" s="3">
        <v>7</v>
      </c>
      <c r="E337" s="3" t="s">
        <v>48</v>
      </c>
      <c r="F337" s="4">
        <v>195</v>
      </c>
      <c r="G337" s="4">
        <v>0</v>
      </c>
      <c r="H337" s="4">
        <v>0.75</v>
      </c>
      <c r="I337" s="4">
        <v>369</v>
      </c>
      <c r="J337" s="4">
        <v>376.09</v>
      </c>
      <c r="K337" s="4"/>
      <c r="L337" s="4">
        <v>195</v>
      </c>
      <c r="M337" s="5">
        <v>46218.798611111109</v>
      </c>
      <c r="N337" s="5">
        <v>46220.78125</v>
      </c>
      <c r="O337" s="3" t="s">
        <v>67</v>
      </c>
      <c r="P337" s="4">
        <f t="shared" si="10"/>
        <v>0.75</v>
      </c>
      <c r="Q337" s="6" t="str">
        <f t="shared" si="11"/>
        <v/>
      </c>
      <c r="R337" s="3" t="s">
        <v>69</v>
      </c>
    </row>
    <row r="338" spans="1:18" hidden="1">
      <c r="A338" s="2">
        <v>46221</v>
      </c>
      <c r="B338" s="3" t="s">
        <v>18</v>
      </c>
      <c r="C338" s="3" t="s">
        <v>19</v>
      </c>
      <c r="D338" s="3"/>
      <c r="E338" s="3"/>
      <c r="F338" s="4">
        <v>1240</v>
      </c>
      <c r="G338" s="4">
        <v>11.36</v>
      </c>
      <c r="H338" s="4">
        <v>18.54</v>
      </c>
      <c r="I338" s="4">
        <v>2367.5299999999997</v>
      </c>
      <c r="J338" s="4">
        <v>2007.5200000000002</v>
      </c>
      <c r="K338" s="4">
        <v>16</v>
      </c>
      <c r="L338" s="4">
        <v>320</v>
      </c>
      <c r="M338" s="5"/>
      <c r="N338" s="5"/>
      <c r="O338" s="3"/>
      <c r="P338" s="4">
        <f t="shared" si="10"/>
        <v>7.18</v>
      </c>
      <c r="Q338" s="6">
        <f t="shared" si="11"/>
        <v>1.6320422535211268</v>
      </c>
      <c r="R338" s="3" t="s">
        <v>70</v>
      </c>
    </row>
    <row r="339" spans="1:18" ht="27.6">
      <c r="A339" s="2">
        <v>46221</v>
      </c>
      <c r="B339" s="3" t="s">
        <v>18</v>
      </c>
      <c r="C339" s="3" t="s">
        <v>3</v>
      </c>
      <c r="D339" s="3">
        <v>1</v>
      </c>
      <c r="E339" s="3" t="s">
        <v>45</v>
      </c>
      <c r="F339" s="4">
        <v>110</v>
      </c>
      <c r="G339" s="4">
        <v>1.84</v>
      </c>
      <c r="H339" s="4">
        <v>0</v>
      </c>
      <c r="I339" s="4">
        <v>210.12000000000006</v>
      </c>
      <c r="J339" s="4">
        <v>144.35</v>
      </c>
      <c r="K339" s="4"/>
      <c r="L339" s="4">
        <v>110</v>
      </c>
      <c r="M339" s="5">
        <v>46212.000694444447</v>
      </c>
      <c r="N339" s="5"/>
      <c r="O339" s="3" t="s">
        <v>59</v>
      </c>
      <c r="P339" s="4">
        <f t="shared" si="10"/>
        <v>-1.84</v>
      </c>
      <c r="Q339" s="6">
        <f t="shared" si="11"/>
        <v>0</v>
      </c>
      <c r="R339" s="3" t="s">
        <v>70</v>
      </c>
    </row>
    <row r="340" spans="1:18">
      <c r="A340" s="2">
        <v>46221</v>
      </c>
      <c r="B340" s="3" t="s">
        <v>18</v>
      </c>
      <c r="C340" s="3" t="s">
        <v>3</v>
      </c>
      <c r="D340" s="3">
        <v>2</v>
      </c>
      <c r="E340" s="3"/>
      <c r="F340" s="4">
        <v>110</v>
      </c>
      <c r="G340" s="4">
        <v>1.87</v>
      </c>
      <c r="H340" s="4">
        <v>1.84</v>
      </c>
      <c r="I340" s="4">
        <v>210.66000000000008</v>
      </c>
      <c r="J340" s="4">
        <v>166.64</v>
      </c>
      <c r="K340" s="4"/>
      <c r="L340" s="4">
        <v>0</v>
      </c>
      <c r="M340" s="5"/>
      <c r="N340" s="5"/>
      <c r="O340" s="3"/>
      <c r="P340" s="4">
        <f t="shared" si="10"/>
        <v>-3.0000000000000027E-2</v>
      </c>
      <c r="Q340" s="6">
        <f t="shared" si="11"/>
        <v>0.98395721925133683</v>
      </c>
      <c r="R340" s="3" t="s">
        <v>70</v>
      </c>
    </row>
    <row r="341" spans="1:18">
      <c r="A341" s="2">
        <v>46221</v>
      </c>
      <c r="B341" s="3" t="s">
        <v>18</v>
      </c>
      <c r="C341" s="3" t="s">
        <v>3</v>
      </c>
      <c r="D341" s="3">
        <v>3</v>
      </c>
      <c r="E341" s="3"/>
      <c r="F341" s="4">
        <v>210</v>
      </c>
      <c r="G341" s="4">
        <v>0</v>
      </c>
      <c r="H341" s="4">
        <v>3.84</v>
      </c>
      <c r="I341" s="4">
        <v>413.05000000000024</v>
      </c>
      <c r="J341" s="4">
        <v>358.02</v>
      </c>
      <c r="K341" s="4"/>
      <c r="L341" s="4">
        <v>0</v>
      </c>
      <c r="M341" s="5"/>
      <c r="N341" s="5"/>
      <c r="O341" s="3"/>
      <c r="P341" s="4">
        <f t="shared" si="10"/>
        <v>3.84</v>
      </c>
      <c r="Q341" s="6" t="str">
        <f t="shared" si="11"/>
        <v/>
      </c>
      <c r="R341" s="3" t="s">
        <v>70</v>
      </c>
    </row>
    <row r="342" spans="1:18">
      <c r="A342" s="2">
        <v>46221</v>
      </c>
      <c r="B342" s="3" t="s">
        <v>18</v>
      </c>
      <c r="C342" s="3" t="s">
        <v>3</v>
      </c>
      <c r="D342" s="3">
        <v>4</v>
      </c>
      <c r="E342" s="3" t="s">
        <v>45</v>
      </c>
      <c r="F342" s="4">
        <v>210</v>
      </c>
      <c r="G342" s="4">
        <v>0</v>
      </c>
      <c r="H342" s="4">
        <v>0.16</v>
      </c>
      <c r="I342" s="4">
        <v>294</v>
      </c>
      <c r="J342" s="4">
        <v>164.85</v>
      </c>
      <c r="K342" s="4"/>
      <c r="L342" s="4">
        <v>210</v>
      </c>
      <c r="M342" s="5">
        <v>46221.418055555558</v>
      </c>
      <c r="N342" s="5"/>
      <c r="O342" s="3" t="s">
        <v>71</v>
      </c>
      <c r="P342" s="4">
        <f t="shared" si="10"/>
        <v>0.16</v>
      </c>
      <c r="Q342" s="6" t="str">
        <f t="shared" si="11"/>
        <v/>
      </c>
      <c r="R342" s="3" t="s">
        <v>70</v>
      </c>
    </row>
    <row r="343" spans="1:18">
      <c r="A343" s="2">
        <v>46221</v>
      </c>
      <c r="B343" s="3" t="s">
        <v>18</v>
      </c>
      <c r="C343" s="3" t="s">
        <v>3</v>
      </c>
      <c r="D343" s="3">
        <v>5</v>
      </c>
      <c r="E343" s="3"/>
      <c r="F343" s="4">
        <v>210</v>
      </c>
      <c r="G343" s="4">
        <v>3.81</v>
      </c>
      <c r="H343" s="4">
        <v>4.26</v>
      </c>
      <c r="I343" s="4">
        <v>430.58000000000004</v>
      </c>
      <c r="J343" s="4">
        <v>366.23</v>
      </c>
      <c r="K343" s="4"/>
      <c r="L343" s="4">
        <v>0</v>
      </c>
      <c r="M343" s="5"/>
      <c r="N343" s="5"/>
      <c r="O343" s="3"/>
      <c r="P343" s="4">
        <f t="shared" si="10"/>
        <v>0.44999999999999973</v>
      </c>
      <c r="Q343" s="6">
        <f t="shared" si="11"/>
        <v>1.1181102362204725</v>
      </c>
      <c r="R343" s="3" t="s">
        <v>70</v>
      </c>
    </row>
    <row r="344" spans="1:18">
      <c r="A344" s="2">
        <v>46221</v>
      </c>
      <c r="B344" s="3" t="s">
        <v>18</v>
      </c>
      <c r="C344" s="3" t="s">
        <v>3</v>
      </c>
      <c r="D344" s="3">
        <v>6</v>
      </c>
      <c r="E344" s="3"/>
      <c r="F344" s="4">
        <v>195</v>
      </c>
      <c r="G344" s="4">
        <v>3.84</v>
      </c>
      <c r="H344" s="4">
        <v>4</v>
      </c>
      <c r="I344" s="4">
        <v>440.11999999999955</v>
      </c>
      <c r="J344" s="4">
        <v>426.9</v>
      </c>
      <c r="K344" s="4"/>
      <c r="L344" s="4">
        <v>0</v>
      </c>
      <c r="M344" s="5"/>
      <c r="N344" s="5"/>
      <c r="O344" s="3"/>
      <c r="P344" s="4">
        <f t="shared" si="10"/>
        <v>0.16000000000000014</v>
      </c>
      <c r="Q344" s="6">
        <f t="shared" si="11"/>
        <v>1.0416666666666667</v>
      </c>
      <c r="R344" s="3" t="s">
        <v>70</v>
      </c>
    </row>
    <row r="345" spans="1:18">
      <c r="A345" s="2">
        <v>46221</v>
      </c>
      <c r="B345" s="3" t="s">
        <v>18</v>
      </c>
      <c r="C345" s="3" t="s">
        <v>3</v>
      </c>
      <c r="D345" s="3">
        <v>7</v>
      </c>
      <c r="E345" s="3"/>
      <c r="F345" s="4">
        <v>195</v>
      </c>
      <c r="G345" s="4">
        <v>0</v>
      </c>
      <c r="H345" s="4">
        <v>4.4400000000000004</v>
      </c>
      <c r="I345" s="4">
        <v>369</v>
      </c>
      <c r="J345" s="4">
        <v>380.53</v>
      </c>
      <c r="K345" s="4"/>
      <c r="L345" s="4">
        <v>0</v>
      </c>
      <c r="M345" s="5"/>
      <c r="N345" s="5"/>
      <c r="O345" s="3"/>
      <c r="P345" s="4">
        <f t="shared" si="10"/>
        <v>4.4400000000000004</v>
      </c>
      <c r="Q345" s="6" t="str">
        <f t="shared" si="11"/>
        <v/>
      </c>
      <c r="R345" s="3" t="s">
        <v>70</v>
      </c>
    </row>
    <row r="346" spans="1:18" hidden="1">
      <c r="A346" s="2">
        <v>46222</v>
      </c>
      <c r="B346" s="3" t="s">
        <v>18</v>
      </c>
      <c r="C346" s="3" t="s">
        <v>19</v>
      </c>
      <c r="D346" s="3"/>
      <c r="E346" s="3"/>
      <c r="F346" s="4">
        <v>1240</v>
      </c>
      <c r="G346" s="4">
        <v>11.36</v>
      </c>
      <c r="H346" s="4">
        <v>18.200000000000003</v>
      </c>
      <c r="I346" s="4">
        <v>2378.8900000000003</v>
      </c>
      <c r="J346" s="4">
        <v>2025.7200000000003</v>
      </c>
      <c r="K346" s="4">
        <v>15</v>
      </c>
      <c r="L346" s="4">
        <v>320</v>
      </c>
      <c r="M346" s="5"/>
      <c r="N346" s="5"/>
      <c r="O346" s="3"/>
      <c r="P346" s="4">
        <f t="shared" si="10"/>
        <v>6.8400000000000034</v>
      </c>
      <c r="Q346" s="6">
        <f t="shared" si="11"/>
        <v>1.6021126760563384</v>
      </c>
      <c r="R346" s="3" t="s">
        <v>72</v>
      </c>
    </row>
    <row r="347" spans="1:18" ht="27.6">
      <c r="A347" s="2">
        <v>46222</v>
      </c>
      <c r="B347" s="3" t="s">
        <v>18</v>
      </c>
      <c r="C347" s="3" t="s">
        <v>3</v>
      </c>
      <c r="D347" s="3">
        <v>1</v>
      </c>
      <c r="E347" s="3" t="s">
        <v>45</v>
      </c>
      <c r="F347" s="4">
        <v>110</v>
      </c>
      <c r="G347" s="4">
        <v>1.84</v>
      </c>
      <c r="H347" s="4">
        <v>0</v>
      </c>
      <c r="I347" s="4">
        <v>211.96000000000006</v>
      </c>
      <c r="J347" s="4">
        <v>144.35</v>
      </c>
      <c r="K347" s="4"/>
      <c r="L347" s="4">
        <v>110</v>
      </c>
      <c r="M347" s="5">
        <v>46212.000694444447</v>
      </c>
      <c r="N347" s="5"/>
      <c r="O347" s="3" t="s">
        <v>59</v>
      </c>
      <c r="P347" s="4">
        <f t="shared" si="10"/>
        <v>-1.84</v>
      </c>
      <c r="Q347" s="6">
        <f t="shared" si="11"/>
        <v>0</v>
      </c>
      <c r="R347" s="3" t="s">
        <v>72</v>
      </c>
    </row>
    <row r="348" spans="1:18">
      <c r="A348" s="2">
        <v>46222</v>
      </c>
      <c r="B348" s="3" t="s">
        <v>18</v>
      </c>
      <c r="C348" s="3" t="s">
        <v>3</v>
      </c>
      <c r="D348" s="3">
        <v>2</v>
      </c>
      <c r="E348" s="3"/>
      <c r="F348" s="4">
        <v>110</v>
      </c>
      <c r="G348" s="4">
        <v>1.87</v>
      </c>
      <c r="H348" s="4">
        <v>1.79</v>
      </c>
      <c r="I348" s="4">
        <v>212.53000000000009</v>
      </c>
      <c r="J348" s="4">
        <v>168.43</v>
      </c>
      <c r="K348" s="4"/>
      <c r="L348" s="4">
        <v>0</v>
      </c>
      <c r="M348" s="5"/>
      <c r="N348" s="5"/>
      <c r="O348" s="3"/>
      <c r="P348" s="4">
        <f t="shared" si="10"/>
        <v>-8.0000000000000071E-2</v>
      </c>
      <c r="Q348" s="6">
        <f t="shared" si="11"/>
        <v>0.95721925133689834</v>
      </c>
      <c r="R348" s="3" t="s">
        <v>72</v>
      </c>
    </row>
    <row r="349" spans="1:18">
      <c r="A349" s="2">
        <v>46222</v>
      </c>
      <c r="B349" s="3" t="s">
        <v>18</v>
      </c>
      <c r="C349" s="3" t="s">
        <v>3</v>
      </c>
      <c r="D349" s="3">
        <v>3</v>
      </c>
      <c r="E349" s="3"/>
      <c r="F349" s="4">
        <v>210</v>
      </c>
      <c r="G349" s="4">
        <v>0</v>
      </c>
      <c r="H349" s="4">
        <v>3.86</v>
      </c>
      <c r="I349" s="4">
        <v>413.05000000000024</v>
      </c>
      <c r="J349" s="4">
        <v>361.88</v>
      </c>
      <c r="K349" s="4"/>
      <c r="L349" s="4">
        <v>0</v>
      </c>
      <c r="M349" s="5"/>
      <c r="N349" s="5"/>
      <c r="O349" s="3"/>
      <c r="P349" s="4">
        <f t="shared" si="10"/>
        <v>3.86</v>
      </c>
      <c r="Q349" s="6" t="str">
        <f t="shared" si="11"/>
        <v/>
      </c>
      <c r="R349" s="3" t="s">
        <v>72</v>
      </c>
    </row>
    <row r="350" spans="1:18">
      <c r="A350" s="2">
        <v>46222</v>
      </c>
      <c r="B350" s="3" t="s">
        <v>18</v>
      </c>
      <c r="C350" s="3" t="s">
        <v>3</v>
      </c>
      <c r="D350" s="3">
        <v>4</v>
      </c>
      <c r="E350" s="3" t="s">
        <v>48</v>
      </c>
      <c r="F350" s="4">
        <v>210</v>
      </c>
      <c r="G350" s="4">
        <v>0</v>
      </c>
      <c r="H350" s="4">
        <v>0.06</v>
      </c>
      <c r="I350" s="4">
        <v>294</v>
      </c>
      <c r="J350" s="4">
        <v>164.91</v>
      </c>
      <c r="K350" s="4"/>
      <c r="L350" s="4">
        <v>210</v>
      </c>
      <c r="M350" s="5">
        <v>46221.418055555558</v>
      </c>
      <c r="N350" s="5">
        <v>46222.957638888889</v>
      </c>
      <c r="O350" s="3" t="s">
        <v>71</v>
      </c>
      <c r="P350" s="4">
        <f t="shared" si="10"/>
        <v>0.06</v>
      </c>
      <c r="Q350" s="6" t="str">
        <f t="shared" si="11"/>
        <v/>
      </c>
      <c r="R350" s="3" t="s">
        <v>72</v>
      </c>
    </row>
    <row r="351" spans="1:18">
      <c r="A351" s="2">
        <v>46222</v>
      </c>
      <c r="B351" s="3" t="s">
        <v>18</v>
      </c>
      <c r="C351" s="3" t="s">
        <v>3</v>
      </c>
      <c r="D351" s="3">
        <v>5</v>
      </c>
      <c r="E351" s="3"/>
      <c r="F351" s="4">
        <v>210</v>
      </c>
      <c r="G351" s="4">
        <v>3.81</v>
      </c>
      <c r="H351" s="4">
        <v>4.2</v>
      </c>
      <c r="I351" s="4">
        <v>434.39000000000004</v>
      </c>
      <c r="J351" s="4">
        <v>370.43</v>
      </c>
      <c r="K351" s="4"/>
      <c r="L351" s="4">
        <v>0</v>
      </c>
      <c r="M351" s="5"/>
      <c r="N351" s="5"/>
      <c r="O351" s="3"/>
      <c r="P351" s="4">
        <f t="shared" si="10"/>
        <v>0.39000000000000012</v>
      </c>
      <c r="Q351" s="6">
        <f t="shared" si="11"/>
        <v>1.1023622047244095</v>
      </c>
      <c r="R351" s="3" t="s">
        <v>72</v>
      </c>
    </row>
    <row r="352" spans="1:18">
      <c r="A352" s="2">
        <v>46222</v>
      </c>
      <c r="B352" s="3" t="s">
        <v>18</v>
      </c>
      <c r="C352" s="3" t="s">
        <v>3</v>
      </c>
      <c r="D352" s="3">
        <v>6</v>
      </c>
      <c r="E352" s="3"/>
      <c r="F352" s="4">
        <v>195</v>
      </c>
      <c r="G352" s="4">
        <v>3.84</v>
      </c>
      <c r="H352" s="4">
        <v>3.96</v>
      </c>
      <c r="I352" s="4">
        <v>443.95999999999952</v>
      </c>
      <c r="J352" s="4">
        <v>430.86</v>
      </c>
      <c r="K352" s="4"/>
      <c r="L352" s="4">
        <v>0</v>
      </c>
      <c r="M352" s="5"/>
      <c r="N352" s="5"/>
      <c r="O352" s="3"/>
      <c r="P352" s="4">
        <f t="shared" si="10"/>
        <v>0.12000000000000011</v>
      </c>
      <c r="Q352" s="6">
        <f t="shared" si="11"/>
        <v>1.03125</v>
      </c>
      <c r="R352" s="3" t="s">
        <v>72</v>
      </c>
    </row>
    <row r="353" spans="1:18">
      <c r="A353" s="2">
        <v>46222</v>
      </c>
      <c r="B353" s="3" t="s">
        <v>18</v>
      </c>
      <c r="C353" s="3" t="s">
        <v>3</v>
      </c>
      <c r="D353" s="3">
        <v>7</v>
      </c>
      <c r="E353" s="3"/>
      <c r="F353" s="4">
        <v>195</v>
      </c>
      <c r="G353" s="4">
        <v>0</v>
      </c>
      <c r="H353" s="4">
        <v>4.33</v>
      </c>
      <c r="I353" s="4">
        <v>369</v>
      </c>
      <c r="J353" s="4">
        <v>384.86</v>
      </c>
      <c r="K353" s="4"/>
      <c r="L353" s="4">
        <v>0</v>
      </c>
      <c r="M353" s="5"/>
      <c r="N353" s="5"/>
      <c r="O353" s="3"/>
      <c r="P353" s="4">
        <f t="shared" si="10"/>
        <v>4.33</v>
      </c>
      <c r="Q353" s="6" t="str">
        <f t="shared" si="11"/>
        <v/>
      </c>
      <c r="R353" s="3" t="s">
        <v>72</v>
      </c>
    </row>
    <row r="354" spans="1:18" hidden="1">
      <c r="A354" s="2">
        <v>46223</v>
      </c>
      <c r="B354" s="3" t="s">
        <v>18</v>
      </c>
      <c r="C354" s="3" t="s">
        <v>19</v>
      </c>
      <c r="D354" s="3"/>
      <c r="E354" s="3"/>
      <c r="F354" s="4">
        <v>1240</v>
      </c>
      <c r="G354" s="4">
        <v>11.36</v>
      </c>
      <c r="H354" s="4">
        <v>18.240000000000002</v>
      </c>
      <c r="I354" s="4">
        <v>2390.25</v>
      </c>
      <c r="J354" s="4">
        <v>2043.9599999999998</v>
      </c>
      <c r="K354" s="4">
        <v>15</v>
      </c>
      <c r="L354" s="4">
        <v>320</v>
      </c>
      <c r="M354" s="5"/>
      <c r="N354" s="5"/>
      <c r="O354" s="3"/>
      <c r="P354" s="4">
        <f t="shared" si="10"/>
        <v>6.8800000000000026</v>
      </c>
      <c r="Q354" s="6">
        <f t="shared" si="11"/>
        <v>1.6056338028169017</v>
      </c>
      <c r="R354" s="3" t="s">
        <v>73</v>
      </c>
    </row>
    <row r="355" spans="1:18" ht="27.6">
      <c r="A355" s="2">
        <v>46223</v>
      </c>
      <c r="B355" s="3" t="s">
        <v>18</v>
      </c>
      <c r="C355" s="3" t="s">
        <v>3</v>
      </c>
      <c r="D355" s="3">
        <v>1</v>
      </c>
      <c r="E355" s="3" t="s">
        <v>45</v>
      </c>
      <c r="F355" s="4">
        <v>110</v>
      </c>
      <c r="G355" s="4">
        <v>1.84</v>
      </c>
      <c r="H355" s="4">
        <v>0</v>
      </c>
      <c r="I355" s="4">
        <v>213.80000000000007</v>
      </c>
      <c r="J355" s="4">
        <v>144.35</v>
      </c>
      <c r="K355" s="4"/>
      <c r="L355" s="4">
        <v>110</v>
      </c>
      <c r="M355" s="5">
        <v>46212.000694444447</v>
      </c>
      <c r="N355" s="5"/>
      <c r="O355" s="3" t="s">
        <v>59</v>
      </c>
      <c r="P355" s="4">
        <f t="shared" si="10"/>
        <v>-1.84</v>
      </c>
      <c r="Q355" s="6">
        <f t="shared" si="11"/>
        <v>0</v>
      </c>
      <c r="R355" s="3" t="s">
        <v>73</v>
      </c>
    </row>
    <row r="356" spans="1:18">
      <c r="A356" s="2">
        <v>46223</v>
      </c>
      <c r="B356" s="3" t="s">
        <v>18</v>
      </c>
      <c r="C356" s="3" t="s">
        <v>3</v>
      </c>
      <c r="D356" s="3">
        <v>2</v>
      </c>
      <c r="E356" s="3"/>
      <c r="F356" s="4">
        <v>110</v>
      </c>
      <c r="G356" s="4">
        <v>1.87</v>
      </c>
      <c r="H356" s="4">
        <v>1.83</v>
      </c>
      <c r="I356" s="4">
        <v>214.40000000000009</v>
      </c>
      <c r="J356" s="4">
        <v>170.26</v>
      </c>
      <c r="K356" s="4"/>
      <c r="L356" s="4">
        <v>0</v>
      </c>
      <c r="M356" s="5"/>
      <c r="N356" s="5"/>
      <c r="O356" s="3"/>
      <c r="P356" s="4">
        <f t="shared" si="10"/>
        <v>-4.0000000000000036E-2</v>
      </c>
      <c r="Q356" s="6">
        <f t="shared" si="11"/>
        <v>0.97860962566844922</v>
      </c>
      <c r="R356" s="3" t="s">
        <v>73</v>
      </c>
    </row>
    <row r="357" spans="1:18">
      <c r="A357" s="2">
        <v>46223</v>
      </c>
      <c r="B357" s="3" t="s">
        <v>18</v>
      </c>
      <c r="C357" s="3" t="s">
        <v>3</v>
      </c>
      <c r="D357" s="3">
        <v>3</v>
      </c>
      <c r="E357" s="3"/>
      <c r="F357" s="4">
        <v>210</v>
      </c>
      <c r="G357" s="4">
        <v>0</v>
      </c>
      <c r="H357" s="4">
        <v>3.83</v>
      </c>
      <c r="I357" s="4">
        <v>413.05000000000024</v>
      </c>
      <c r="J357" s="4">
        <v>365.71</v>
      </c>
      <c r="K357" s="4"/>
      <c r="L357" s="4">
        <v>0</v>
      </c>
      <c r="M357" s="5"/>
      <c r="N357" s="5"/>
      <c r="O357" s="3"/>
      <c r="P357" s="4">
        <f t="shared" si="10"/>
        <v>3.83</v>
      </c>
      <c r="Q357" s="6" t="str">
        <f t="shared" si="11"/>
        <v/>
      </c>
      <c r="R357" s="3" t="s">
        <v>73</v>
      </c>
    </row>
    <row r="358" spans="1:18">
      <c r="A358" s="2">
        <v>46223</v>
      </c>
      <c r="B358" s="3" t="s">
        <v>18</v>
      </c>
      <c r="C358" s="3" t="s">
        <v>3</v>
      </c>
      <c r="D358" s="3">
        <v>4</v>
      </c>
      <c r="E358" s="3" t="s">
        <v>45</v>
      </c>
      <c r="F358" s="4">
        <v>210</v>
      </c>
      <c r="G358" s="4">
        <v>0</v>
      </c>
      <c r="H358" s="4">
        <v>0.08</v>
      </c>
      <c r="I358" s="4">
        <v>294</v>
      </c>
      <c r="J358" s="4">
        <v>164.99</v>
      </c>
      <c r="K358" s="4"/>
      <c r="L358" s="4">
        <v>210</v>
      </c>
      <c r="M358" s="5">
        <v>46223.04791666667</v>
      </c>
      <c r="N358" s="5"/>
      <c r="O358" s="3" t="s">
        <v>71</v>
      </c>
      <c r="P358" s="4">
        <f t="shared" si="10"/>
        <v>0.08</v>
      </c>
      <c r="Q358" s="6" t="str">
        <f t="shared" si="11"/>
        <v/>
      </c>
      <c r="R358" s="3" t="s">
        <v>73</v>
      </c>
    </row>
    <row r="359" spans="1:18">
      <c r="A359" s="2">
        <v>46223</v>
      </c>
      <c r="B359" s="3" t="s">
        <v>18</v>
      </c>
      <c r="C359" s="3" t="s">
        <v>3</v>
      </c>
      <c r="D359" s="3">
        <v>5</v>
      </c>
      <c r="E359" s="3"/>
      <c r="F359" s="4">
        <v>210</v>
      </c>
      <c r="G359" s="4">
        <v>3.81</v>
      </c>
      <c r="H359" s="4">
        <v>4.17</v>
      </c>
      <c r="I359" s="4">
        <v>438.20000000000005</v>
      </c>
      <c r="J359" s="4">
        <v>374.6</v>
      </c>
      <c r="K359" s="4"/>
      <c r="L359" s="4">
        <v>0</v>
      </c>
      <c r="M359" s="5"/>
      <c r="N359" s="5"/>
      <c r="O359" s="3"/>
      <c r="P359" s="4">
        <f t="shared" si="10"/>
        <v>0.35999999999999988</v>
      </c>
      <c r="Q359" s="6">
        <f t="shared" si="11"/>
        <v>1.094488188976378</v>
      </c>
      <c r="R359" s="3" t="s">
        <v>73</v>
      </c>
    </row>
    <row r="360" spans="1:18">
      <c r="A360" s="2">
        <v>46223</v>
      </c>
      <c r="B360" s="3" t="s">
        <v>18</v>
      </c>
      <c r="C360" s="3" t="s">
        <v>3</v>
      </c>
      <c r="D360" s="3">
        <v>6</v>
      </c>
      <c r="E360" s="3"/>
      <c r="F360" s="4">
        <v>195</v>
      </c>
      <c r="G360" s="4">
        <v>3.84</v>
      </c>
      <c r="H360" s="4">
        <v>3.98</v>
      </c>
      <c r="I360" s="4">
        <v>447.7999999999995</v>
      </c>
      <c r="J360" s="4">
        <v>434.84</v>
      </c>
      <c r="K360" s="4"/>
      <c r="L360" s="4">
        <v>0</v>
      </c>
      <c r="M360" s="5"/>
      <c r="N360" s="5"/>
      <c r="O360" s="3"/>
      <c r="P360" s="4">
        <f t="shared" si="10"/>
        <v>0.14000000000000012</v>
      </c>
      <c r="Q360" s="6">
        <f t="shared" si="11"/>
        <v>1.0364583333333333</v>
      </c>
      <c r="R360" s="3" t="s">
        <v>73</v>
      </c>
    </row>
    <row r="361" spans="1:18">
      <c r="A361" s="2">
        <v>46223</v>
      </c>
      <c r="B361" s="3" t="s">
        <v>18</v>
      </c>
      <c r="C361" s="3" t="s">
        <v>3</v>
      </c>
      <c r="D361" s="3">
        <v>7</v>
      </c>
      <c r="E361" s="3"/>
      <c r="F361" s="4">
        <v>195</v>
      </c>
      <c r="G361" s="4">
        <v>0</v>
      </c>
      <c r="H361" s="4">
        <v>4.3499999999999996</v>
      </c>
      <c r="I361" s="4">
        <v>369</v>
      </c>
      <c r="J361" s="4">
        <v>389.21</v>
      </c>
      <c r="K361" s="4"/>
      <c r="L361" s="4">
        <v>0</v>
      </c>
      <c r="M361" s="5"/>
      <c r="N361" s="5"/>
      <c r="O361" s="3"/>
      <c r="P361" s="4">
        <f t="shared" si="10"/>
        <v>4.3499999999999996</v>
      </c>
      <c r="Q361" s="6" t="str">
        <f t="shared" si="11"/>
        <v/>
      </c>
      <c r="R36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85EA-9673-4706-81BC-239737C0CB7D}">
  <dimension ref="A1:J316"/>
  <sheetViews>
    <sheetView tabSelected="1" zoomScale="101" zoomScaleNormal="145" workbookViewId="0">
      <selection activeCell="H200" sqref="H200"/>
    </sheetView>
  </sheetViews>
  <sheetFormatPr defaultRowHeight="13.8"/>
  <cols>
    <col min="1" max="1" width="17.09765625" style="7" customWidth="1"/>
    <col min="2" max="2" width="8.796875" style="8"/>
    <col min="3" max="3" width="14" customWidth="1"/>
    <col min="4" max="4" width="22.09765625" customWidth="1"/>
    <col min="5" max="5" width="20.5" customWidth="1"/>
    <col min="6" max="6" width="19.796875" customWidth="1"/>
    <col min="7" max="7" width="24.8984375" customWidth="1"/>
    <col min="8" max="8" width="19.796875" customWidth="1"/>
    <col min="9" max="9" width="24.69921875" customWidth="1"/>
    <col min="10" max="10" width="12.5" customWidth="1"/>
    <col min="13" max="13" width="15.09765625" customWidth="1"/>
    <col min="17" max="17" width="20.296875" customWidth="1"/>
  </cols>
  <sheetData>
    <row r="1" spans="1:10">
      <c r="A1" s="10" t="s">
        <v>0</v>
      </c>
      <c r="B1" s="9" t="s">
        <v>3</v>
      </c>
      <c r="C1" t="s">
        <v>4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14</v>
      </c>
    </row>
    <row r="2" spans="1:10">
      <c r="A2" s="7">
        <v>46179</v>
      </c>
      <c r="B2" s="8">
        <v>1</v>
      </c>
      <c r="D2">
        <v>110</v>
      </c>
      <c r="E2">
        <v>1.93</v>
      </c>
      <c r="F2">
        <v>1.62</v>
      </c>
      <c r="G2">
        <v>0</v>
      </c>
    </row>
    <row r="3" spans="1:10">
      <c r="A3" s="7">
        <v>46179</v>
      </c>
      <c r="B3" s="8">
        <v>2</v>
      </c>
      <c r="D3">
        <v>110</v>
      </c>
      <c r="E3">
        <v>1.93</v>
      </c>
      <c r="F3">
        <v>1.66</v>
      </c>
      <c r="G3">
        <v>0</v>
      </c>
    </row>
    <row r="4" spans="1:10">
      <c r="A4" s="7">
        <v>46179</v>
      </c>
      <c r="B4" s="8">
        <v>3</v>
      </c>
      <c r="D4">
        <v>210</v>
      </c>
      <c r="E4">
        <v>3.9</v>
      </c>
      <c r="F4">
        <v>3.67</v>
      </c>
      <c r="G4">
        <v>0</v>
      </c>
    </row>
    <row r="5" spans="1:10">
      <c r="A5" s="7">
        <v>46179</v>
      </c>
      <c r="B5" s="8">
        <v>4</v>
      </c>
      <c r="D5">
        <v>210</v>
      </c>
      <c r="E5">
        <v>4</v>
      </c>
      <c r="F5">
        <v>3.75</v>
      </c>
      <c r="G5">
        <v>0</v>
      </c>
    </row>
    <row r="6" spans="1:10">
      <c r="A6" s="7">
        <v>46179</v>
      </c>
      <c r="B6" s="8">
        <v>5</v>
      </c>
      <c r="D6">
        <v>210</v>
      </c>
      <c r="E6">
        <v>4</v>
      </c>
      <c r="F6">
        <v>3.85</v>
      </c>
      <c r="G6">
        <v>0</v>
      </c>
    </row>
    <row r="7" spans="1:10">
      <c r="A7" s="7">
        <v>46179</v>
      </c>
      <c r="B7" s="8">
        <v>6</v>
      </c>
      <c r="D7">
        <v>195</v>
      </c>
      <c r="E7">
        <v>4.0999999999999996</v>
      </c>
      <c r="F7">
        <v>3.85</v>
      </c>
      <c r="G7">
        <v>0</v>
      </c>
    </row>
    <row r="8" spans="1:10">
      <c r="A8" s="7">
        <v>46179</v>
      </c>
      <c r="B8" s="8">
        <v>7</v>
      </c>
      <c r="D8">
        <v>195</v>
      </c>
      <c r="E8">
        <v>4.0999999999999996</v>
      </c>
      <c r="F8">
        <v>3.82</v>
      </c>
      <c r="G8">
        <v>0</v>
      </c>
    </row>
    <row r="9" spans="1:10">
      <c r="A9" s="7">
        <v>46180</v>
      </c>
      <c r="B9" s="8">
        <v>1</v>
      </c>
      <c r="D9">
        <v>110</v>
      </c>
      <c r="E9">
        <v>1.93</v>
      </c>
      <c r="F9">
        <v>1.61</v>
      </c>
      <c r="G9">
        <v>0</v>
      </c>
    </row>
    <row r="10" spans="1:10">
      <c r="A10" s="7">
        <v>46180</v>
      </c>
      <c r="B10" s="8">
        <v>2</v>
      </c>
      <c r="D10">
        <v>110</v>
      </c>
      <c r="E10">
        <v>1.93</v>
      </c>
      <c r="F10">
        <v>1.58</v>
      </c>
      <c r="G10">
        <v>0</v>
      </c>
    </row>
    <row r="11" spans="1:10">
      <c r="A11" s="7">
        <v>46180</v>
      </c>
      <c r="B11" s="8">
        <v>3</v>
      </c>
      <c r="D11">
        <v>210</v>
      </c>
      <c r="E11">
        <v>3.9</v>
      </c>
      <c r="F11">
        <v>3.59</v>
      </c>
      <c r="G11">
        <v>0</v>
      </c>
    </row>
    <row r="12" spans="1:10">
      <c r="A12" s="7">
        <v>46180</v>
      </c>
      <c r="B12" s="8">
        <v>4</v>
      </c>
      <c r="D12">
        <v>210</v>
      </c>
      <c r="E12">
        <v>4</v>
      </c>
      <c r="F12">
        <v>3.61</v>
      </c>
      <c r="G12">
        <v>0</v>
      </c>
    </row>
    <row r="13" spans="1:10">
      <c r="A13" s="7">
        <v>46180</v>
      </c>
      <c r="B13" s="8">
        <v>5</v>
      </c>
      <c r="D13">
        <v>210</v>
      </c>
      <c r="E13">
        <v>4</v>
      </c>
      <c r="F13">
        <v>3.83</v>
      </c>
      <c r="G13">
        <v>0</v>
      </c>
    </row>
    <row r="14" spans="1:10">
      <c r="A14" s="7">
        <v>46180</v>
      </c>
      <c r="B14" s="8">
        <v>6</v>
      </c>
      <c r="D14">
        <v>195</v>
      </c>
      <c r="E14">
        <v>4.0999999999999996</v>
      </c>
      <c r="F14">
        <v>3.85</v>
      </c>
      <c r="G14">
        <v>0</v>
      </c>
    </row>
    <row r="15" spans="1:10">
      <c r="A15" s="7">
        <v>46180</v>
      </c>
      <c r="B15" s="8">
        <v>7</v>
      </c>
      <c r="D15">
        <v>195</v>
      </c>
      <c r="E15">
        <v>4.0999999999999996</v>
      </c>
      <c r="F15">
        <v>3.81</v>
      </c>
      <c r="G15">
        <v>0</v>
      </c>
    </row>
    <row r="16" spans="1:10">
      <c r="A16" s="7">
        <v>46181</v>
      </c>
      <c r="B16" s="8">
        <v>1</v>
      </c>
      <c r="D16">
        <v>110</v>
      </c>
      <c r="E16">
        <v>1.93</v>
      </c>
      <c r="F16">
        <v>1.55</v>
      </c>
      <c r="G16">
        <v>0</v>
      </c>
    </row>
    <row r="17" spans="1:7">
      <c r="A17" s="7">
        <v>46181</v>
      </c>
      <c r="B17" s="8">
        <v>2</v>
      </c>
      <c r="D17">
        <v>110</v>
      </c>
      <c r="E17">
        <v>1.93</v>
      </c>
      <c r="F17">
        <v>1.6</v>
      </c>
      <c r="G17">
        <v>0</v>
      </c>
    </row>
    <row r="18" spans="1:7">
      <c r="A18" s="7">
        <v>46181</v>
      </c>
      <c r="B18" s="8">
        <v>3</v>
      </c>
      <c r="D18">
        <v>210</v>
      </c>
      <c r="E18">
        <v>3.9</v>
      </c>
      <c r="F18">
        <v>3.61</v>
      </c>
      <c r="G18">
        <v>0</v>
      </c>
    </row>
    <row r="19" spans="1:7">
      <c r="A19" s="7">
        <v>46181</v>
      </c>
      <c r="B19" s="8">
        <v>4</v>
      </c>
      <c r="D19">
        <v>210</v>
      </c>
      <c r="E19">
        <v>4</v>
      </c>
      <c r="F19">
        <v>3.67</v>
      </c>
      <c r="G19">
        <v>0</v>
      </c>
    </row>
    <row r="20" spans="1:7">
      <c r="A20" s="7">
        <v>46181</v>
      </c>
      <c r="B20" s="8">
        <v>5</v>
      </c>
      <c r="D20">
        <v>210</v>
      </c>
      <c r="E20">
        <v>4</v>
      </c>
      <c r="F20">
        <v>3.85</v>
      </c>
      <c r="G20">
        <v>0</v>
      </c>
    </row>
    <row r="21" spans="1:7">
      <c r="A21" s="7">
        <v>46181</v>
      </c>
      <c r="B21" s="8">
        <v>6</v>
      </c>
      <c r="D21">
        <v>195</v>
      </c>
      <c r="E21">
        <v>4.0999999999999996</v>
      </c>
      <c r="F21">
        <v>3.84</v>
      </c>
      <c r="G21">
        <v>0</v>
      </c>
    </row>
    <row r="22" spans="1:7">
      <c r="A22" s="7">
        <v>46181</v>
      </c>
      <c r="B22" s="8">
        <v>7</v>
      </c>
      <c r="D22">
        <v>195</v>
      </c>
      <c r="E22">
        <v>4.0999999999999996</v>
      </c>
      <c r="F22">
        <v>3.83</v>
      </c>
      <c r="G22">
        <v>0</v>
      </c>
    </row>
    <row r="23" spans="1:7">
      <c r="A23" s="7">
        <v>46182</v>
      </c>
      <c r="B23" s="8">
        <v>1</v>
      </c>
      <c r="D23">
        <v>110</v>
      </c>
      <c r="E23">
        <v>1.93</v>
      </c>
      <c r="F23">
        <v>1.63</v>
      </c>
      <c r="G23">
        <v>0</v>
      </c>
    </row>
    <row r="24" spans="1:7">
      <c r="A24" s="7">
        <v>46182</v>
      </c>
      <c r="B24" s="8">
        <v>2</v>
      </c>
      <c r="D24">
        <v>110</v>
      </c>
      <c r="E24">
        <v>1.93</v>
      </c>
      <c r="F24">
        <v>1.74</v>
      </c>
      <c r="G24">
        <v>0</v>
      </c>
    </row>
    <row r="25" spans="1:7">
      <c r="A25" s="7">
        <v>46182</v>
      </c>
      <c r="B25" s="8">
        <v>3</v>
      </c>
      <c r="D25">
        <v>210</v>
      </c>
      <c r="E25">
        <v>3.9</v>
      </c>
      <c r="F25">
        <v>3.72</v>
      </c>
      <c r="G25">
        <v>0</v>
      </c>
    </row>
    <row r="26" spans="1:7">
      <c r="A26" s="7">
        <v>46182</v>
      </c>
      <c r="B26" s="8">
        <v>4</v>
      </c>
      <c r="D26">
        <v>210</v>
      </c>
      <c r="E26">
        <v>4</v>
      </c>
      <c r="F26">
        <v>3.81</v>
      </c>
      <c r="G26">
        <v>0</v>
      </c>
    </row>
    <row r="27" spans="1:7">
      <c r="A27" s="7">
        <v>46182</v>
      </c>
      <c r="B27" s="8">
        <v>5</v>
      </c>
      <c r="D27">
        <v>210</v>
      </c>
      <c r="E27">
        <v>4</v>
      </c>
      <c r="F27">
        <v>3.89</v>
      </c>
      <c r="G27">
        <v>0</v>
      </c>
    </row>
    <row r="28" spans="1:7">
      <c r="A28" s="7">
        <v>46182</v>
      </c>
      <c r="B28" s="8">
        <v>6</v>
      </c>
      <c r="D28">
        <v>195</v>
      </c>
      <c r="E28">
        <v>4.0999999999999996</v>
      </c>
      <c r="F28">
        <v>3.85</v>
      </c>
      <c r="G28">
        <v>0</v>
      </c>
    </row>
    <row r="29" spans="1:7">
      <c r="A29" s="7">
        <v>46182</v>
      </c>
      <c r="B29" s="8">
        <v>7</v>
      </c>
      <c r="D29">
        <v>195</v>
      </c>
      <c r="E29">
        <v>4.0999999999999996</v>
      </c>
      <c r="F29">
        <v>3.81</v>
      </c>
      <c r="G29">
        <v>0</v>
      </c>
    </row>
    <row r="30" spans="1:7">
      <c r="A30" s="7">
        <v>46183</v>
      </c>
      <c r="B30" s="8">
        <v>1</v>
      </c>
      <c r="D30">
        <v>110</v>
      </c>
      <c r="E30">
        <v>1.93</v>
      </c>
      <c r="F30">
        <v>1.65</v>
      </c>
      <c r="G30">
        <v>0</v>
      </c>
    </row>
    <row r="31" spans="1:7">
      <c r="A31" s="7">
        <v>46183</v>
      </c>
      <c r="B31" s="8">
        <v>2</v>
      </c>
      <c r="D31">
        <v>110</v>
      </c>
      <c r="E31">
        <v>1.93</v>
      </c>
      <c r="F31">
        <v>1.71</v>
      </c>
      <c r="G31">
        <v>0</v>
      </c>
    </row>
    <row r="32" spans="1:7">
      <c r="A32" s="7">
        <v>46183</v>
      </c>
      <c r="B32" s="8">
        <v>3</v>
      </c>
      <c r="D32">
        <v>210</v>
      </c>
      <c r="E32">
        <v>3.9</v>
      </c>
      <c r="F32">
        <v>3.74</v>
      </c>
      <c r="G32">
        <v>0</v>
      </c>
    </row>
    <row r="33" spans="1:7">
      <c r="A33" s="7">
        <v>46183</v>
      </c>
      <c r="B33" s="8">
        <v>4</v>
      </c>
      <c r="D33">
        <v>210</v>
      </c>
      <c r="E33">
        <v>4</v>
      </c>
      <c r="F33">
        <v>3.69</v>
      </c>
      <c r="G33">
        <v>0</v>
      </c>
    </row>
    <row r="34" spans="1:7">
      <c r="A34" s="7">
        <v>46183</v>
      </c>
      <c r="B34" s="8">
        <v>5</v>
      </c>
      <c r="D34">
        <v>210</v>
      </c>
      <c r="E34">
        <v>4</v>
      </c>
      <c r="F34">
        <v>3.95</v>
      </c>
      <c r="G34">
        <v>0</v>
      </c>
    </row>
    <row r="35" spans="1:7">
      <c r="A35" s="7">
        <v>46183</v>
      </c>
      <c r="B35" s="8">
        <v>6</v>
      </c>
      <c r="D35">
        <v>195</v>
      </c>
      <c r="E35">
        <v>4.0999999999999996</v>
      </c>
      <c r="F35">
        <v>3.85</v>
      </c>
      <c r="G35">
        <v>0</v>
      </c>
    </row>
    <row r="36" spans="1:7">
      <c r="A36" s="7">
        <v>46183</v>
      </c>
      <c r="B36" s="8">
        <v>7</v>
      </c>
      <c r="D36">
        <v>195</v>
      </c>
      <c r="E36">
        <v>4.0999999999999996</v>
      </c>
      <c r="F36">
        <v>4.01</v>
      </c>
      <c r="G36">
        <v>0</v>
      </c>
    </row>
    <row r="37" spans="1:7">
      <c r="A37" s="7">
        <v>46184</v>
      </c>
      <c r="B37" s="8">
        <v>1</v>
      </c>
      <c r="D37">
        <v>110</v>
      </c>
      <c r="E37">
        <v>1.93</v>
      </c>
      <c r="F37">
        <v>1.65</v>
      </c>
      <c r="G37">
        <v>0</v>
      </c>
    </row>
    <row r="38" spans="1:7">
      <c r="A38" s="7">
        <v>46184</v>
      </c>
      <c r="B38" s="8">
        <v>2</v>
      </c>
      <c r="D38">
        <v>110</v>
      </c>
      <c r="E38">
        <v>1.93</v>
      </c>
      <c r="F38">
        <v>1.7</v>
      </c>
      <c r="G38">
        <v>0</v>
      </c>
    </row>
    <row r="39" spans="1:7">
      <c r="A39" s="7">
        <v>46184</v>
      </c>
      <c r="B39" s="8">
        <v>3</v>
      </c>
      <c r="D39">
        <v>210</v>
      </c>
      <c r="E39">
        <v>3.9</v>
      </c>
      <c r="F39">
        <v>3.7</v>
      </c>
      <c r="G39">
        <v>0</v>
      </c>
    </row>
    <row r="40" spans="1:7">
      <c r="A40" s="7">
        <v>46184</v>
      </c>
      <c r="B40" s="8">
        <v>4</v>
      </c>
      <c r="D40">
        <v>210</v>
      </c>
      <c r="E40">
        <v>4</v>
      </c>
      <c r="F40">
        <v>3.38</v>
      </c>
      <c r="G40">
        <v>0</v>
      </c>
    </row>
    <row r="41" spans="1:7">
      <c r="A41" s="7">
        <v>46184</v>
      </c>
      <c r="B41" s="8">
        <v>5</v>
      </c>
      <c r="D41">
        <v>210</v>
      </c>
      <c r="E41">
        <v>4</v>
      </c>
      <c r="F41">
        <v>3.99</v>
      </c>
      <c r="G41">
        <v>0</v>
      </c>
    </row>
    <row r="42" spans="1:7">
      <c r="A42" s="7">
        <v>46184</v>
      </c>
      <c r="B42" s="8">
        <v>6</v>
      </c>
      <c r="D42">
        <v>195</v>
      </c>
      <c r="E42">
        <v>4.0999999999999996</v>
      </c>
      <c r="F42">
        <v>3.84</v>
      </c>
      <c r="G42">
        <v>0</v>
      </c>
    </row>
    <row r="43" spans="1:7">
      <c r="A43" s="7">
        <v>46184</v>
      </c>
      <c r="B43" s="8">
        <v>7</v>
      </c>
      <c r="D43">
        <v>195</v>
      </c>
      <c r="E43">
        <v>4.0999999999999996</v>
      </c>
      <c r="F43">
        <v>4.0199999999999996</v>
      </c>
      <c r="G43">
        <v>0</v>
      </c>
    </row>
    <row r="44" spans="1:7">
      <c r="A44" s="7">
        <v>46185</v>
      </c>
      <c r="B44" s="8">
        <v>1</v>
      </c>
      <c r="D44">
        <v>110</v>
      </c>
      <c r="E44">
        <v>1.93</v>
      </c>
      <c r="F44">
        <v>1.56</v>
      </c>
      <c r="G44">
        <v>0</v>
      </c>
    </row>
    <row r="45" spans="1:7">
      <c r="A45" s="7">
        <v>46185</v>
      </c>
      <c r="B45" s="8">
        <v>2</v>
      </c>
      <c r="D45">
        <v>110</v>
      </c>
      <c r="E45">
        <v>1.93</v>
      </c>
      <c r="F45">
        <v>1.59</v>
      </c>
      <c r="G45">
        <v>0</v>
      </c>
    </row>
    <row r="46" spans="1:7">
      <c r="A46" s="7">
        <v>46185</v>
      </c>
      <c r="B46" s="8">
        <v>3</v>
      </c>
      <c r="D46">
        <v>210</v>
      </c>
      <c r="E46">
        <v>3.9</v>
      </c>
      <c r="F46">
        <v>3.56</v>
      </c>
      <c r="G46">
        <v>0</v>
      </c>
    </row>
    <row r="47" spans="1:7">
      <c r="A47" s="7">
        <v>46185</v>
      </c>
      <c r="B47" s="8">
        <v>4</v>
      </c>
      <c r="D47">
        <v>210</v>
      </c>
      <c r="E47">
        <v>4</v>
      </c>
      <c r="F47">
        <v>3.38</v>
      </c>
      <c r="G47">
        <v>0</v>
      </c>
    </row>
    <row r="48" spans="1:7">
      <c r="A48" s="7">
        <v>46185</v>
      </c>
      <c r="B48" s="8">
        <v>5</v>
      </c>
      <c r="D48">
        <v>210</v>
      </c>
      <c r="E48">
        <v>4</v>
      </c>
      <c r="F48">
        <v>3.83</v>
      </c>
      <c r="G48">
        <v>0</v>
      </c>
    </row>
    <row r="49" spans="1:7">
      <c r="A49" s="7">
        <v>46185</v>
      </c>
      <c r="B49" s="8">
        <v>6</v>
      </c>
      <c r="D49">
        <v>195</v>
      </c>
      <c r="E49">
        <v>4.0999999999999996</v>
      </c>
      <c r="F49">
        <v>3.84</v>
      </c>
      <c r="G49">
        <v>0</v>
      </c>
    </row>
    <row r="50" spans="1:7">
      <c r="A50" s="7">
        <v>46185</v>
      </c>
      <c r="B50" s="8">
        <v>7</v>
      </c>
      <c r="D50">
        <v>195</v>
      </c>
      <c r="E50">
        <v>4.0999999999999996</v>
      </c>
      <c r="F50">
        <v>3.82</v>
      </c>
      <c r="G50">
        <v>0</v>
      </c>
    </row>
    <row r="51" spans="1:7">
      <c r="A51" s="7">
        <v>46186</v>
      </c>
      <c r="B51" s="8">
        <v>1</v>
      </c>
      <c r="D51">
        <v>110</v>
      </c>
      <c r="E51">
        <v>1.93</v>
      </c>
      <c r="F51">
        <v>1.57</v>
      </c>
      <c r="G51">
        <v>0</v>
      </c>
    </row>
    <row r="52" spans="1:7">
      <c r="A52" s="7">
        <v>46186</v>
      </c>
      <c r="B52" s="8">
        <v>2</v>
      </c>
      <c r="D52">
        <v>110</v>
      </c>
      <c r="E52">
        <v>1.93</v>
      </c>
      <c r="F52">
        <v>1.59</v>
      </c>
      <c r="G52">
        <v>0</v>
      </c>
    </row>
    <row r="53" spans="1:7">
      <c r="A53" s="7">
        <v>46186</v>
      </c>
      <c r="B53" s="8">
        <v>3</v>
      </c>
      <c r="D53">
        <v>210</v>
      </c>
      <c r="E53">
        <v>3.9</v>
      </c>
      <c r="F53">
        <v>3.61</v>
      </c>
      <c r="G53">
        <v>0</v>
      </c>
    </row>
    <row r="54" spans="1:7">
      <c r="A54" s="7">
        <v>46186</v>
      </c>
      <c r="B54" s="8">
        <v>4</v>
      </c>
      <c r="D54">
        <v>210</v>
      </c>
      <c r="E54">
        <v>4</v>
      </c>
      <c r="F54">
        <v>3.38</v>
      </c>
      <c r="G54">
        <v>0</v>
      </c>
    </row>
    <row r="55" spans="1:7">
      <c r="A55" s="7">
        <v>46186</v>
      </c>
      <c r="B55" s="8">
        <v>5</v>
      </c>
      <c r="D55">
        <v>210</v>
      </c>
      <c r="E55">
        <v>4</v>
      </c>
      <c r="F55">
        <v>3.88</v>
      </c>
      <c r="G55">
        <v>0</v>
      </c>
    </row>
    <row r="56" spans="1:7">
      <c r="A56" s="7">
        <v>46186</v>
      </c>
      <c r="B56" s="8">
        <v>6</v>
      </c>
      <c r="D56">
        <v>195</v>
      </c>
      <c r="E56">
        <v>4.0999999999999996</v>
      </c>
      <c r="F56">
        <v>3.84</v>
      </c>
      <c r="G56">
        <v>0</v>
      </c>
    </row>
    <row r="57" spans="1:7">
      <c r="A57" s="7">
        <v>46186</v>
      </c>
      <c r="B57" s="8">
        <v>7</v>
      </c>
      <c r="D57">
        <v>195</v>
      </c>
      <c r="E57">
        <v>4.0999999999999996</v>
      </c>
      <c r="F57">
        <v>3.87</v>
      </c>
      <c r="G57">
        <v>0</v>
      </c>
    </row>
    <row r="58" spans="1:7">
      <c r="A58" s="7">
        <v>46187</v>
      </c>
      <c r="B58" s="8">
        <v>1</v>
      </c>
      <c r="D58">
        <v>110</v>
      </c>
      <c r="E58">
        <v>1.93</v>
      </c>
      <c r="F58">
        <v>1.48</v>
      </c>
      <c r="G58">
        <v>0</v>
      </c>
    </row>
    <row r="59" spans="1:7">
      <c r="A59" s="7">
        <v>46187</v>
      </c>
      <c r="B59" s="8">
        <v>2</v>
      </c>
      <c r="D59">
        <v>110</v>
      </c>
      <c r="E59">
        <v>1.93</v>
      </c>
      <c r="F59">
        <v>1.48</v>
      </c>
      <c r="G59">
        <v>0</v>
      </c>
    </row>
    <row r="60" spans="1:7">
      <c r="A60" s="7">
        <v>46187</v>
      </c>
      <c r="B60" s="8">
        <v>3</v>
      </c>
      <c r="D60">
        <v>210</v>
      </c>
      <c r="E60">
        <v>3.9</v>
      </c>
      <c r="F60">
        <v>3.44</v>
      </c>
      <c r="G60">
        <v>0</v>
      </c>
    </row>
    <row r="61" spans="1:7">
      <c r="A61" s="7">
        <v>46187</v>
      </c>
      <c r="B61" s="8">
        <v>4</v>
      </c>
      <c r="D61">
        <v>210</v>
      </c>
      <c r="E61">
        <v>4</v>
      </c>
      <c r="F61">
        <v>3.38</v>
      </c>
      <c r="G61">
        <v>0</v>
      </c>
    </row>
    <row r="62" spans="1:7">
      <c r="A62" s="7">
        <v>46187</v>
      </c>
      <c r="B62" s="8">
        <v>5</v>
      </c>
      <c r="D62">
        <v>210</v>
      </c>
      <c r="E62">
        <v>4</v>
      </c>
      <c r="F62">
        <v>3.67</v>
      </c>
      <c r="G62">
        <v>0</v>
      </c>
    </row>
    <row r="63" spans="1:7">
      <c r="A63" s="7">
        <v>46187</v>
      </c>
      <c r="B63" s="8">
        <v>6</v>
      </c>
      <c r="D63">
        <v>195</v>
      </c>
      <c r="E63">
        <v>4.0999999999999996</v>
      </c>
      <c r="F63">
        <v>3.85</v>
      </c>
      <c r="G63">
        <v>0</v>
      </c>
    </row>
    <row r="64" spans="1:7">
      <c r="A64" s="7">
        <v>46187</v>
      </c>
      <c r="B64" s="8">
        <v>7</v>
      </c>
      <c r="D64">
        <v>195</v>
      </c>
      <c r="E64">
        <v>4.0999999999999996</v>
      </c>
      <c r="F64">
        <v>3.72</v>
      </c>
      <c r="G64">
        <v>0</v>
      </c>
    </row>
    <row r="65" spans="1:7">
      <c r="A65" s="7">
        <v>46188</v>
      </c>
      <c r="B65" s="8">
        <v>1</v>
      </c>
      <c r="D65">
        <v>110</v>
      </c>
      <c r="E65">
        <v>1.93</v>
      </c>
      <c r="F65">
        <v>1.54</v>
      </c>
      <c r="G65">
        <v>0</v>
      </c>
    </row>
    <row r="66" spans="1:7">
      <c r="A66" s="7">
        <v>46188</v>
      </c>
      <c r="B66" s="8">
        <v>2</v>
      </c>
      <c r="D66">
        <v>110</v>
      </c>
      <c r="E66">
        <v>1.93</v>
      </c>
      <c r="F66">
        <v>1.56</v>
      </c>
      <c r="G66">
        <v>0</v>
      </c>
    </row>
    <row r="67" spans="1:7">
      <c r="A67" s="7">
        <v>46188</v>
      </c>
      <c r="B67" s="8">
        <v>3</v>
      </c>
      <c r="D67">
        <v>210</v>
      </c>
      <c r="E67">
        <v>3.9</v>
      </c>
      <c r="F67">
        <v>3.5</v>
      </c>
      <c r="G67">
        <v>0</v>
      </c>
    </row>
    <row r="68" spans="1:7">
      <c r="A68" s="7">
        <v>46188</v>
      </c>
      <c r="B68" s="8">
        <v>4</v>
      </c>
      <c r="D68">
        <v>210</v>
      </c>
      <c r="E68">
        <v>0</v>
      </c>
      <c r="F68">
        <v>3.38</v>
      </c>
      <c r="G68">
        <v>0</v>
      </c>
    </row>
    <row r="69" spans="1:7">
      <c r="A69" s="7">
        <v>46188</v>
      </c>
      <c r="B69" s="8">
        <v>5</v>
      </c>
      <c r="D69">
        <v>210</v>
      </c>
      <c r="E69">
        <v>4</v>
      </c>
      <c r="F69">
        <v>3.75</v>
      </c>
      <c r="G69">
        <v>0</v>
      </c>
    </row>
    <row r="70" spans="1:7">
      <c r="A70" s="7">
        <v>46188</v>
      </c>
      <c r="B70" s="8">
        <v>6</v>
      </c>
      <c r="D70">
        <v>195</v>
      </c>
      <c r="E70">
        <v>4.0999999999999996</v>
      </c>
      <c r="F70">
        <v>3.85</v>
      </c>
      <c r="G70">
        <v>0</v>
      </c>
    </row>
    <row r="71" spans="1:7">
      <c r="A71" s="7">
        <v>46188</v>
      </c>
      <c r="B71" s="8">
        <v>7</v>
      </c>
      <c r="D71">
        <v>195</v>
      </c>
      <c r="E71">
        <v>4.0999999999999996</v>
      </c>
      <c r="F71">
        <v>3.72</v>
      </c>
      <c r="G71">
        <v>0</v>
      </c>
    </row>
    <row r="72" spans="1:7">
      <c r="A72" s="7">
        <v>46189</v>
      </c>
      <c r="B72" s="8">
        <v>1</v>
      </c>
      <c r="D72">
        <v>110</v>
      </c>
      <c r="E72">
        <v>1.93</v>
      </c>
      <c r="F72">
        <v>1.68</v>
      </c>
      <c r="G72">
        <v>0</v>
      </c>
    </row>
    <row r="73" spans="1:7">
      <c r="A73" s="7">
        <v>46189</v>
      </c>
      <c r="B73" s="8">
        <v>2</v>
      </c>
      <c r="D73">
        <v>110</v>
      </c>
      <c r="E73">
        <v>1.93</v>
      </c>
      <c r="F73">
        <v>1.73</v>
      </c>
      <c r="G73">
        <v>0</v>
      </c>
    </row>
    <row r="74" spans="1:7">
      <c r="A74" s="7">
        <v>46189</v>
      </c>
      <c r="B74" s="8">
        <v>3</v>
      </c>
      <c r="D74">
        <v>210</v>
      </c>
      <c r="E74">
        <v>3.9</v>
      </c>
      <c r="F74">
        <v>3.79</v>
      </c>
      <c r="G74">
        <v>0</v>
      </c>
    </row>
    <row r="75" spans="1:7">
      <c r="A75" s="7">
        <v>46189</v>
      </c>
      <c r="B75" s="8">
        <v>4</v>
      </c>
      <c r="D75">
        <v>210</v>
      </c>
      <c r="E75">
        <v>0</v>
      </c>
      <c r="F75">
        <v>3.38</v>
      </c>
      <c r="G75">
        <v>0</v>
      </c>
    </row>
    <row r="76" spans="1:7">
      <c r="A76" s="7">
        <v>46189</v>
      </c>
      <c r="B76" s="8">
        <v>5</v>
      </c>
      <c r="D76">
        <v>210</v>
      </c>
      <c r="E76">
        <v>4</v>
      </c>
      <c r="F76">
        <v>4.03</v>
      </c>
      <c r="G76">
        <v>0</v>
      </c>
    </row>
    <row r="77" spans="1:7">
      <c r="A77" s="7">
        <v>46189</v>
      </c>
      <c r="B77" s="8">
        <v>6</v>
      </c>
      <c r="D77">
        <v>195</v>
      </c>
      <c r="E77">
        <v>4.0999999999999996</v>
      </c>
      <c r="F77">
        <v>3.85</v>
      </c>
      <c r="G77">
        <v>0</v>
      </c>
    </row>
    <row r="78" spans="1:7">
      <c r="A78" s="7">
        <v>46189</v>
      </c>
      <c r="B78" s="8">
        <v>7</v>
      </c>
      <c r="D78">
        <v>195</v>
      </c>
      <c r="E78">
        <v>4.0999999999999996</v>
      </c>
      <c r="F78">
        <v>4.03</v>
      </c>
      <c r="G78">
        <v>0</v>
      </c>
    </row>
    <row r="79" spans="1:7">
      <c r="A79" s="7">
        <v>46190</v>
      </c>
      <c r="B79" s="8">
        <v>1</v>
      </c>
      <c r="D79">
        <v>110</v>
      </c>
      <c r="E79">
        <v>1.93</v>
      </c>
      <c r="F79">
        <v>1.6</v>
      </c>
      <c r="G79">
        <v>0</v>
      </c>
    </row>
    <row r="80" spans="1:7">
      <c r="A80" s="7">
        <v>46190</v>
      </c>
      <c r="B80" s="8">
        <v>2</v>
      </c>
      <c r="D80">
        <v>110</v>
      </c>
      <c r="E80">
        <v>1.93</v>
      </c>
      <c r="F80">
        <v>1.66</v>
      </c>
      <c r="G80">
        <v>0</v>
      </c>
    </row>
    <row r="81" spans="1:7">
      <c r="A81" s="7">
        <v>46190</v>
      </c>
      <c r="B81" s="8">
        <v>3</v>
      </c>
      <c r="D81">
        <v>210</v>
      </c>
      <c r="E81">
        <v>3.9</v>
      </c>
      <c r="F81">
        <v>3.72</v>
      </c>
      <c r="G81">
        <v>0</v>
      </c>
    </row>
    <row r="82" spans="1:7">
      <c r="A82" s="7">
        <v>46190</v>
      </c>
      <c r="B82" s="8">
        <v>4</v>
      </c>
      <c r="D82">
        <v>210</v>
      </c>
      <c r="E82">
        <v>0</v>
      </c>
      <c r="F82">
        <v>3.52</v>
      </c>
      <c r="G82">
        <v>0</v>
      </c>
    </row>
    <row r="83" spans="1:7">
      <c r="A83" s="7">
        <v>46190</v>
      </c>
      <c r="B83" s="8">
        <v>5</v>
      </c>
      <c r="D83">
        <v>210</v>
      </c>
      <c r="E83">
        <v>4</v>
      </c>
      <c r="F83">
        <v>4.04</v>
      </c>
      <c r="G83">
        <v>0</v>
      </c>
    </row>
    <row r="84" spans="1:7">
      <c r="A84" s="7">
        <v>46190</v>
      </c>
      <c r="B84" s="8">
        <v>6</v>
      </c>
      <c r="D84">
        <v>195</v>
      </c>
      <c r="E84">
        <v>4.0999999999999996</v>
      </c>
      <c r="F84">
        <v>3.85</v>
      </c>
      <c r="G84">
        <v>0</v>
      </c>
    </row>
    <row r="85" spans="1:7">
      <c r="A85" s="7">
        <v>46190</v>
      </c>
      <c r="B85" s="8">
        <v>7</v>
      </c>
      <c r="D85">
        <v>195</v>
      </c>
      <c r="E85">
        <v>4.0999999999999996</v>
      </c>
      <c r="F85">
        <v>3.96</v>
      </c>
      <c r="G85">
        <v>0</v>
      </c>
    </row>
    <row r="86" spans="1:7">
      <c r="A86" s="7">
        <v>46191</v>
      </c>
      <c r="B86" s="8">
        <v>1</v>
      </c>
      <c r="D86">
        <v>110</v>
      </c>
      <c r="E86">
        <v>1.93</v>
      </c>
      <c r="F86">
        <v>1.61</v>
      </c>
      <c r="G86">
        <v>0</v>
      </c>
    </row>
    <row r="87" spans="1:7">
      <c r="A87" s="7">
        <v>46191</v>
      </c>
      <c r="B87" s="8">
        <v>2</v>
      </c>
      <c r="D87">
        <v>110</v>
      </c>
      <c r="E87">
        <v>1.93</v>
      </c>
      <c r="F87">
        <v>1.77</v>
      </c>
      <c r="G87">
        <v>0</v>
      </c>
    </row>
    <row r="88" spans="1:7">
      <c r="A88" s="7">
        <v>46191</v>
      </c>
      <c r="B88" s="8">
        <v>3</v>
      </c>
      <c r="D88">
        <v>210</v>
      </c>
      <c r="E88">
        <v>3.9</v>
      </c>
      <c r="F88">
        <v>3.89</v>
      </c>
      <c r="G88">
        <v>0</v>
      </c>
    </row>
    <row r="89" spans="1:7">
      <c r="A89" s="7">
        <v>46191</v>
      </c>
      <c r="B89" s="8">
        <v>4</v>
      </c>
      <c r="D89">
        <v>210</v>
      </c>
      <c r="E89">
        <v>0</v>
      </c>
      <c r="F89">
        <v>3.62</v>
      </c>
      <c r="G89">
        <v>0</v>
      </c>
    </row>
    <row r="90" spans="1:7">
      <c r="A90" s="7">
        <v>46191</v>
      </c>
      <c r="B90" s="8">
        <v>5</v>
      </c>
      <c r="D90">
        <v>210</v>
      </c>
      <c r="E90">
        <v>4</v>
      </c>
      <c r="F90">
        <v>4.18</v>
      </c>
      <c r="G90">
        <v>0</v>
      </c>
    </row>
    <row r="91" spans="1:7">
      <c r="A91" s="7">
        <v>46191</v>
      </c>
      <c r="B91" s="8">
        <v>6</v>
      </c>
      <c r="D91">
        <v>195</v>
      </c>
      <c r="E91">
        <v>4.0999999999999996</v>
      </c>
      <c r="F91">
        <v>3.84</v>
      </c>
      <c r="G91">
        <v>0</v>
      </c>
    </row>
    <row r="92" spans="1:7">
      <c r="A92" s="7">
        <v>46191</v>
      </c>
      <c r="B92" s="8">
        <v>7</v>
      </c>
      <c r="D92">
        <v>195</v>
      </c>
      <c r="E92">
        <v>4.0999999999999996</v>
      </c>
      <c r="F92">
        <v>4.1900000000000004</v>
      </c>
      <c r="G92">
        <v>0</v>
      </c>
    </row>
    <row r="93" spans="1:7">
      <c r="A93" s="7">
        <v>46192</v>
      </c>
      <c r="B93" s="8">
        <v>1</v>
      </c>
      <c r="D93">
        <v>110</v>
      </c>
      <c r="E93">
        <v>1.93</v>
      </c>
      <c r="F93">
        <v>1.65</v>
      </c>
      <c r="G93">
        <v>0</v>
      </c>
    </row>
    <row r="94" spans="1:7">
      <c r="A94" s="7">
        <v>46192</v>
      </c>
      <c r="B94" s="8">
        <v>2</v>
      </c>
      <c r="D94">
        <v>110</v>
      </c>
      <c r="E94">
        <v>1.93</v>
      </c>
      <c r="F94">
        <v>1.76</v>
      </c>
      <c r="G94">
        <v>0</v>
      </c>
    </row>
    <row r="95" spans="1:7">
      <c r="A95" s="7">
        <v>46192</v>
      </c>
      <c r="B95" s="8">
        <v>3</v>
      </c>
      <c r="D95">
        <v>210</v>
      </c>
      <c r="E95">
        <v>3.9</v>
      </c>
      <c r="F95">
        <v>3.88</v>
      </c>
      <c r="G95">
        <v>0</v>
      </c>
    </row>
    <row r="96" spans="1:7">
      <c r="A96" s="7">
        <v>46192</v>
      </c>
      <c r="B96" s="8">
        <v>4</v>
      </c>
      <c r="D96">
        <v>210</v>
      </c>
      <c r="E96">
        <v>0</v>
      </c>
      <c r="F96">
        <v>3.57</v>
      </c>
      <c r="G96">
        <v>0</v>
      </c>
    </row>
    <row r="97" spans="1:7">
      <c r="A97" s="7">
        <v>46192</v>
      </c>
      <c r="B97" s="8">
        <v>5</v>
      </c>
      <c r="D97">
        <v>210</v>
      </c>
      <c r="E97">
        <v>4</v>
      </c>
      <c r="F97">
        <v>4.1100000000000003</v>
      </c>
      <c r="G97">
        <v>0</v>
      </c>
    </row>
    <row r="98" spans="1:7">
      <c r="A98" s="7">
        <v>46192</v>
      </c>
      <c r="B98" s="8">
        <v>6</v>
      </c>
      <c r="D98">
        <v>195</v>
      </c>
      <c r="E98">
        <v>4.0999999999999996</v>
      </c>
      <c r="F98">
        <v>3.85</v>
      </c>
      <c r="G98">
        <v>0</v>
      </c>
    </row>
    <row r="99" spans="1:7">
      <c r="A99" s="7">
        <v>46192</v>
      </c>
      <c r="B99" s="8">
        <v>7</v>
      </c>
      <c r="D99">
        <v>195</v>
      </c>
      <c r="E99">
        <v>4.0999999999999996</v>
      </c>
      <c r="F99">
        <v>4.21</v>
      </c>
      <c r="G99">
        <v>0</v>
      </c>
    </row>
    <row r="100" spans="1:7">
      <c r="A100" s="7">
        <v>46193</v>
      </c>
      <c r="B100" s="8">
        <v>1</v>
      </c>
      <c r="D100">
        <v>110</v>
      </c>
      <c r="E100">
        <v>1.93</v>
      </c>
      <c r="F100">
        <v>1.76</v>
      </c>
      <c r="G100">
        <v>0</v>
      </c>
    </row>
    <row r="101" spans="1:7">
      <c r="A101" s="7">
        <v>46193</v>
      </c>
      <c r="B101" s="8">
        <v>2</v>
      </c>
      <c r="D101">
        <v>110</v>
      </c>
      <c r="E101">
        <v>1.93</v>
      </c>
      <c r="F101">
        <v>1.87</v>
      </c>
      <c r="G101">
        <v>0</v>
      </c>
    </row>
    <row r="102" spans="1:7">
      <c r="A102" s="7">
        <v>46193</v>
      </c>
      <c r="B102" s="8">
        <v>3</v>
      </c>
      <c r="D102">
        <v>210</v>
      </c>
      <c r="E102">
        <v>3.9</v>
      </c>
      <c r="F102">
        <v>4.03</v>
      </c>
      <c r="G102">
        <v>0</v>
      </c>
    </row>
    <row r="103" spans="1:7">
      <c r="A103" s="7">
        <v>46193</v>
      </c>
      <c r="B103" s="8">
        <v>4</v>
      </c>
      <c r="D103">
        <v>210</v>
      </c>
      <c r="E103">
        <v>0</v>
      </c>
      <c r="F103">
        <v>3.65</v>
      </c>
      <c r="G103">
        <v>0</v>
      </c>
    </row>
    <row r="104" spans="1:7">
      <c r="A104" s="7">
        <v>46193</v>
      </c>
      <c r="B104" s="8">
        <v>5</v>
      </c>
      <c r="D104">
        <v>210</v>
      </c>
      <c r="E104">
        <v>4</v>
      </c>
      <c r="F104">
        <v>4.24</v>
      </c>
      <c r="G104">
        <v>0</v>
      </c>
    </row>
    <row r="105" spans="1:7">
      <c r="A105" s="7">
        <v>46193</v>
      </c>
      <c r="B105" s="8">
        <v>6</v>
      </c>
      <c r="D105">
        <v>195</v>
      </c>
      <c r="E105">
        <v>4.0999999999999996</v>
      </c>
      <c r="F105">
        <v>3.85</v>
      </c>
      <c r="G105">
        <v>0</v>
      </c>
    </row>
    <row r="106" spans="1:7">
      <c r="A106" s="7">
        <v>46193</v>
      </c>
      <c r="B106" s="8">
        <v>7</v>
      </c>
      <c r="D106">
        <v>195</v>
      </c>
      <c r="E106">
        <v>4.0999999999999996</v>
      </c>
      <c r="F106">
        <v>4.21</v>
      </c>
      <c r="G106">
        <v>0</v>
      </c>
    </row>
    <row r="107" spans="1:7">
      <c r="A107" s="7">
        <v>46194</v>
      </c>
      <c r="B107" s="8">
        <v>1</v>
      </c>
      <c r="D107">
        <v>110</v>
      </c>
      <c r="E107">
        <v>1.93</v>
      </c>
      <c r="F107">
        <v>1.53</v>
      </c>
      <c r="G107">
        <v>0</v>
      </c>
    </row>
    <row r="108" spans="1:7">
      <c r="A108" s="7">
        <v>46194</v>
      </c>
      <c r="B108" s="8">
        <v>2</v>
      </c>
      <c r="D108">
        <v>110</v>
      </c>
      <c r="E108">
        <v>1.93</v>
      </c>
      <c r="F108">
        <v>1.62</v>
      </c>
      <c r="G108">
        <v>0</v>
      </c>
    </row>
    <row r="109" spans="1:7">
      <c r="A109" s="7">
        <v>46194</v>
      </c>
      <c r="B109" s="8">
        <v>3</v>
      </c>
      <c r="D109">
        <v>210</v>
      </c>
      <c r="E109">
        <v>3.9</v>
      </c>
      <c r="F109">
        <v>3.64</v>
      </c>
      <c r="G109">
        <v>0</v>
      </c>
    </row>
    <row r="110" spans="1:7">
      <c r="A110" s="7">
        <v>46194</v>
      </c>
      <c r="B110" s="8">
        <v>4</v>
      </c>
      <c r="D110">
        <v>210</v>
      </c>
      <c r="E110">
        <v>0</v>
      </c>
      <c r="F110">
        <v>3.52</v>
      </c>
      <c r="G110">
        <v>0</v>
      </c>
    </row>
    <row r="111" spans="1:7">
      <c r="A111" s="7">
        <v>46194</v>
      </c>
      <c r="B111" s="8">
        <v>5</v>
      </c>
      <c r="D111">
        <v>210</v>
      </c>
      <c r="E111">
        <v>4</v>
      </c>
      <c r="F111">
        <v>3.8</v>
      </c>
      <c r="G111">
        <v>0</v>
      </c>
    </row>
    <row r="112" spans="1:7">
      <c r="A112" s="7">
        <v>46194</v>
      </c>
      <c r="B112" s="8">
        <v>6</v>
      </c>
      <c r="D112">
        <v>195</v>
      </c>
      <c r="E112">
        <v>4.0999999999999996</v>
      </c>
      <c r="F112">
        <v>3.85</v>
      </c>
      <c r="G112">
        <v>0</v>
      </c>
    </row>
    <row r="113" spans="1:7">
      <c r="A113" s="7">
        <v>46194</v>
      </c>
      <c r="B113" s="8">
        <v>7</v>
      </c>
      <c r="D113">
        <v>195</v>
      </c>
      <c r="E113">
        <v>4.0999999999999996</v>
      </c>
      <c r="F113">
        <v>3.84</v>
      </c>
      <c r="G113">
        <v>0</v>
      </c>
    </row>
    <row r="114" spans="1:7">
      <c r="A114" s="7">
        <v>46195</v>
      </c>
      <c r="B114" s="8">
        <v>1</v>
      </c>
      <c r="D114">
        <v>110</v>
      </c>
      <c r="E114">
        <v>1.93</v>
      </c>
      <c r="F114">
        <v>1.56</v>
      </c>
      <c r="G114">
        <v>0</v>
      </c>
    </row>
    <row r="115" spans="1:7">
      <c r="A115" s="7">
        <v>46195</v>
      </c>
      <c r="B115" s="8">
        <v>2</v>
      </c>
      <c r="D115">
        <v>110</v>
      </c>
      <c r="E115">
        <v>1.93</v>
      </c>
      <c r="F115">
        <v>1.62</v>
      </c>
      <c r="G115">
        <v>0</v>
      </c>
    </row>
    <row r="116" spans="1:7">
      <c r="A116" s="7">
        <v>46195</v>
      </c>
      <c r="B116" s="8">
        <v>3</v>
      </c>
      <c r="D116">
        <v>210</v>
      </c>
      <c r="E116">
        <v>3.9</v>
      </c>
      <c r="F116">
        <v>3.67</v>
      </c>
      <c r="G116">
        <v>0</v>
      </c>
    </row>
    <row r="117" spans="1:7">
      <c r="A117" s="7">
        <v>46195</v>
      </c>
      <c r="B117" s="8">
        <v>4</v>
      </c>
      <c r="D117">
        <v>210</v>
      </c>
      <c r="E117">
        <v>0</v>
      </c>
      <c r="F117">
        <v>3.48</v>
      </c>
      <c r="G117">
        <v>0</v>
      </c>
    </row>
    <row r="118" spans="1:7">
      <c r="A118" s="7">
        <v>46195</v>
      </c>
      <c r="B118" s="8">
        <v>5</v>
      </c>
      <c r="D118">
        <v>210</v>
      </c>
      <c r="E118">
        <v>4</v>
      </c>
      <c r="F118">
        <v>3.83</v>
      </c>
      <c r="G118">
        <v>0</v>
      </c>
    </row>
    <row r="119" spans="1:7">
      <c r="A119" s="7">
        <v>46195</v>
      </c>
      <c r="B119" s="8">
        <v>6</v>
      </c>
      <c r="D119">
        <v>195</v>
      </c>
      <c r="E119">
        <v>4.0999999999999996</v>
      </c>
      <c r="F119">
        <v>3.86</v>
      </c>
      <c r="G119">
        <v>0</v>
      </c>
    </row>
    <row r="120" spans="1:7">
      <c r="A120" s="7">
        <v>46195</v>
      </c>
      <c r="B120" s="8">
        <v>7</v>
      </c>
      <c r="D120">
        <v>195</v>
      </c>
      <c r="E120">
        <v>4.0999999999999996</v>
      </c>
      <c r="F120">
        <v>3.77</v>
      </c>
      <c r="G120">
        <v>0</v>
      </c>
    </row>
    <row r="121" spans="1:7">
      <c r="A121" s="7">
        <v>46196</v>
      </c>
      <c r="B121" s="8">
        <v>1</v>
      </c>
      <c r="D121">
        <v>110</v>
      </c>
      <c r="E121">
        <v>1.93</v>
      </c>
      <c r="F121">
        <v>1.63</v>
      </c>
      <c r="G121">
        <v>0</v>
      </c>
    </row>
    <row r="122" spans="1:7">
      <c r="A122" s="7">
        <v>46196</v>
      </c>
      <c r="B122" s="8">
        <v>2</v>
      </c>
      <c r="D122">
        <v>110</v>
      </c>
      <c r="E122">
        <v>1.93</v>
      </c>
      <c r="F122">
        <v>1.67</v>
      </c>
      <c r="G122">
        <v>0</v>
      </c>
    </row>
    <row r="123" spans="1:7">
      <c r="A123" s="7">
        <v>46196</v>
      </c>
      <c r="B123" s="8">
        <v>3</v>
      </c>
      <c r="D123">
        <v>210</v>
      </c>
      <c r="E123">
        <v>3.9</v>
      </c>
      <c r="F123">
        <v>3.76</v>
      </c>
      <c r="G123">
        <v>0</v>
      </c>
    </row>
    <row r="124" spans="1:7">
      <c r="A124" s="7">
        <v>46196</v>
      </c>
      <c r="B124" s="8">
        <v>4</v>
      </c>
      <c r="D124">
        <v>210</v>
      </c>
      <c r="E124">
        <v>0</v>
      </c>
      <c r="F124">
        <v>3.56</v>
      </c>
      <c r="G124">
        <v>0</v>
      </c>
    </row>
    <row r="125" spans="1:7">
      <c r="A125" s="7">
        <v>46196</v>
      </c>
      <c r="B125" s="8">
        <v>5</v>
      </c>
      <c r="D125">
        <v>210</v>
      </c>
      <c r="E125">
        <v>4</v>
      </c>
      <c r="F125">
        <v>3.96</v>
      </c>
      <c r="G125">
        <v>0</v>
      </c>
    </row>
    <row r="126" spans="1:7">
      <c r="A126" s="7">
        <v>46196</v>
      </c>
      <c r="B126" s="8">
        <v>6</v>
      </c>
      <c r="D126">
        <v>195</v>
      </c>
      <c r="E126">
        <v>4.0999999999999996</v>
      </c>
      <c r="F126">
        <v>3.85</v>
      </c>
      <c r="G126">
        <v>0</v>
      </c>
    </row>
    <row r="127" spans="1:7">
      <c r="A127" s="7">
        <v>46196</v>
      </c>
      <c r="B127" s="8">
        <v>7</v>
      </c>
      <c r="D127">
        <v>195</v>
      </c>
      <c r="E127">
        <v>4.0999999999999996</v>
      </c>
      <c r="F127">
        <v>3.87</v>
      </c>
      <c r="G127">
        <v>0</v>
      </c>
    </row>
    <row r="128" spans="1:7">
      <c r="A128" s="7">
        <v>46197</v>
      </c>
      <c r="B128" s="8">
        <v>1</v>
      </c>
      <c r="D128">
        <v>110</v>
      </c>
      <c r="E128">
        <v>1.93</v>
      </c>
      <c r="F128">
        <v>1.58</v>
      </c>
      <c r="G128">
        <v>0</v>
      </c>
    </row>
    <row r="129" spans="1:7">
      <c r="A129" s="7">
        <v>46197</v>
      </c>
      <c r="B129" s="8">
        <v>2</v>
      </c>
      <c r="D129">
        <v>110</v>
      </c>
      <c r="E129">
        <v>1.93</v>
      </c>
      <c r="F129">
        <v>1.61</v>
      </c>
      <c r="G129">
        <v>0</v>
      </c>
    </row>
    <row r="130" spans="1:7">
      <c r="A130" s="7">
        <v>46197</v>
      </c>
      <c r="B130" s="8">
        <v>3</v>
      </c>
      <c r="D130">
        <v>210</v>
      </c>
      <c r="E130">
        <v>3.9</v>
      </c>
      <c r="F130">
        <v>3.69</v>
      </c>
      <c r="G130">
        <v>0</v>
      </c>
    </row>
    <row r="131" spans="1:7">
      <c r="A131" s="7">
        <v>46197</v>
      </c>
      <c r="B131" s="8">
        <v>4</v>
      </c>
      <c r="D131">
        <v>210</v>
      </c>
      <c r="E131">
        <v>0</v>
      </c>
      <c r="F131">
        <v>3.51</v>
      </c>
      <c r="G131">
        <v>0</v>
      </c>
    </row>
    <row r="132" spans="1:7">
      <c r="A132" s="7">
        <v>46197</v>
      </c>
      <c r="B132" s="8">
        <v>5</v>
      </c>
      <c r="D132">
        <v>210</v>
      </c>
      <c r="E132">
        <v>4</v>
      </c>
      <c r="F132">
        <v>3.86</v>
      </c>
      <c r="G132">
        <v>0</v>
      </c>
    </row>
    <row r="133" spans="1:7">
      <c r="A133" s="7">
        <v>46197</v>
      </c>
      <c r="B133" s="8">
        <v>6</v>
      </c>
      <c r="D133">
        <v>195</v>
      </c>
      <c r="E133">
        <v>4.0999999999999996</v>
      </c>
      <c r="F133">
        <v>3.84</v>
      </c>
      <c r="G133">
        <v>0</v>
      </c>
    </row>
    <row r="134" spans="1:7">
      <c r="A134" s="7">
        <v>46197</v>
      </c>
      <c r="B134" s="8">
        <v>7</v>
      </c>
      <c r="D134">
        <v>195</v>
      </c>
      <c r="E134">
        <v>4.0999999999999996</v>
      </c>
      <c r="F134">
        <v>3.93</v>
      </c>
      <c r="G134">
        <v>0</v>
      </c>
    </row>
    <row r="135" spans="1:7">
      <c r="A135" s="7">
        <v>46198</v>
      </c>
      <c r="B135" s="8">
        <v>1</v>
      </c>
      <c r="D135">
        <v>110</v>
      </c>
      <c r="E135">
        <v>1.93</v>
      </c>
      <c r="F135">
        <v>1.6</v>
      </c>
      <c r="G135">
        <v>0</v>
      </c>
    </row>
    <row r="136" spans="1:7">
      <c r="A136" s="7">
        <v>46198</v>
      </c>
      <c r="B136" s="8">
        <v>2</v>
      </c>
      <c r="D136">
        <v>110</v>
      </c>
      <c r="E136">
        <v>1.93</v>
      </c>
      <c r="F136">
        <v>1.65</v>
      </c>
      <c r="G136">
        <v>0</v>
      </c>
    </row>
    <row r="137" spans="1:7">
      <c r="A137" s="7">
        <v>46198</v>
      </c>
      <c r="B137" s="8">
        <v>3</v>
      </c>
      <c r="D137">
        <v>210</v>
      </c>
      <c r="E137">
        <v>3.9</v>
      </c>
      <c r="F137">
        <v>3.89</v>
      </c>
      <c r="G137">
        <v>0</v>
      </c>
    </row>
    <row r="138" spans="1:7">
      <c r="A138" s="7">
        <v>46198</v>
      </c>
      <c r="B138" s="8">
        <v>4</v>
      </c>
      <c r="D138">
        <v>210</v>
      </c>
      <c r="E138">
        <v>0</v>
      </c>
      <c r="F138">
        <v>3.52</v>
      </c>
      <c r="G138">
        <v>0</v>
      </c>
    </row>
    <row r="139" spans="1:7">
      <c r="A139" s="7">
        <v>46198</v>
      </c>
      <c r="B139" s="8">
        <v>5</v>
      </c>
      <c r="D139">
        <v>210</v>
      </c>
      <c r="E139">
        <v>4</v>
      </c>
      <c r="F139">
        <v>3.92</v>
      </c>
      <c r="G139">
        <v>0</v>
      </c>
    </row>
    <row r="140" spans="1:7">
      <c r="A140" s="7">
        <v>46198</v>
      </c>
      <c r="B140" s="8">
        <v>6</v>
      </c>
      <c r="D140">
        <v>195</v>
      </c>
      <c r="E140">
        <v>4.0999999999999996</v>
      </c>
      <c r="F140">
        <v>3.85</v>
      </c>
      <c r="G140">
        <v>0</v>
      </c>
    </row>
    <row r="141" spans="1:7">
      <c r="A141" s="7">
        <v>46198</v>
      </c>
      <c r="B141" s="8">
        <v>7</v>
      </c>
      <c r="D141">
        <v>195</v>
      </c>
      <c r="E141">
        <v>4.0999999999999996</v>
      </c>
      <c r="F141">
        <v>3.92</v>
      </c>
      <c r="G141">
        <v>0</v>
      </c>
    </row>
    <row r="142" spans="1:7">
      <c r="A142" s="7">
        <v>46199</v>
      </c>
      <c r="B142" s="8">
        <v>1</v>
      </c>
      <c r="D142">
        <v>110</v>
      </c>
      <c r="E142">
        <v>1.93</v>
      </c>
      <c r="F142">
        <v>1.63</v>
      </c>
      <c r="G142">
        <v>0</v>
      </c>
    </row>
    <row r="143" spans="1:7">
      <c r="A143" s="7">
        <v>46199</v>
      </c>
      <c r="B143" s="8">
        <v>2</v>
      </c>
      <c r="D143">
        <v>110</v>
      </c>
      <c r="E143">
        <v>1.93</v>
      </c>
      <c r="F143">
        <v>1.76</v>
      </c>
      <c r="G143">
        <v>0</v>
      </c>
    </row>
    <row r="144" spans="1:7">
      <c r="A144" s="7">
        <v>46199</v>
      </c>
      <c r="B144" s="8">
        <v>3</v>
      </c>
      <c r="D144">
        <v>210</v>
      </c>
      <c r="E144">
        <v>3.9</v>
      </c>
      <c r="F144">
        <v>3.82</v>
      </c>
      <c r="G144">
        <v>0</v>
      </c>
    </row>
    <row r="145" spans="1:7">
      <c r="A145" s="7">
        <v>46199</v>
      </c>
      <c r="B145" s="8">
        <v>4</v>
      </c>
      <c r="D145">
        <v>210</v>
      </c>
      <c r="E145">
        <v>0</v>
      </c>
      <c r="F145">
        <v>3.63</v>
      </c>
      <c r="G145">
        <v>0</v>
      </c>
    </row>
    <row r="146" spans="1:7">
      <c r="A146" s="7">
        <v>46199</v>
      </c>
      <c r="B146" s="8">
        <v>5</v>
      </c>
      <c r="D146">
        <v>210</v>
      </c>
      <c r="E146">
        <v>4</v>
      </c>
      <c r="F146">
        <v>4.13</v>
      </c>
      <c r="G146">
        <v>0</v>
      </c>
    </row>
    <row r="147" spans="1:7">
      <c r="A147" s="7">
        <v>46199</v>
      </c>
      <c r="B147" s="8">
        <v>6</v>
      </c>
      <c r="D147">
        <v>195</v>
      </c>
      <c r="E147">
        <v>4.0999999999999996</v>
      </c>
      <c r="F147">
        <v>3.84</v>
      </c>
      <c r="G147">
        <v>0</v>
      </c>
    </row>
    <row r="148" spans="1:7">
      <c r="A148" s="7">
        <v>46199</v>
      </c>
      <c r="B148" s="8">
        <v>7</v>
      </c>
      <c r="D148">
        <v>195</v>
      </c>
      <c r="E148">
        <v>4.0999999999999996</v>
      </c>
      <c r="F148">
        <v>4.16</v>
      </c>
      <c r="G148">
        <v>0</v>
      </c>
    </row>
    <row r="149" spans="1:7">
      <c r="A149" s="7">
        <v>46200</v>
      </c>
      <c r="B149" s="8">
        <v>1</v>
      </c>
      <c r="D149">
        <v>110</v>
      </c>
      <c r="E149">
        <v>1.93</v>
      </c>
      <c r="F149">
        <v>1.69</v>
      </c>
      <c r="G149">
        <v>0</v>
      </c>
    </row>
    <row r="150" spans="1:7">
      <c r="A150" s="7">
        <v>46200</v>
      </c>
      <c r="B150" s="8">
        <v>2</v>
      </c>
      <c r="D150">
        <v>110</v>
      </c>
      <c r="E150">
        <v>1.93</v>
      </c>
      <c r="F150">
        <v>1.75</v>
      </c>
      <c r="G150">
        <v>0</v>
      </c>
    </row>
    <row r="151" spans="1:7">
      <c r="A151" s="7">
        <v>46200</v>
      </c>
      <c r="B151" s="8">
        <v>3</v>
      </c>
      <c r="D151">
        <v>210</v>
      </c>
      <c r="E151">
        <v>3.9</v>
      </c>
      <c r="F151">
        <v>3.97</v>
      </c>
      <c r="G151">
        <v>0</v>
      </c>
    </row>
    <row r="152" spans="1:7">
      <c r="A152" s="7">
        <v>46200</v>
      </c>
      <c r="B152" s="8">
        <v>4</v>
      </c>
      <c r="D152">
        <v>210</v>
      </c>
      <c r="E152">
        <v>0</v>
      </c>
      <c r="F152">
        <v>3.65</v>
      </c>
      <c r="G152">
        <v>0</v>
      </c>
    </row>
    <row r="153" spans="1:7">
      <c r="A153" s="7">
        <v>46200</v>
      </c>
      <c r="B153" s="8">
        <v>5</v>
      </c>
      <c r="D153">
        <v>210</v>
      </c>
      <c r="E153">
        <v>4</v>
      </c>
      <c r="F153">
        <v>4.29</v>
      </c>
      <c r="G153">
        <v>0</v>
      </c>
    </row>
    <row r="154" spans="1:7">
      <c r="A154" s="7">
        <v>46200</v>
      </c>
      <c r="B154" s="8">
        <v>6</v>
      </c>
      <c r="D154">
        <v>195</v>
      </c>
      <c r="E154">
        <v>4.0999999999999996</v>
      </c>
      <c r="F154">
        <v>3.85</v>
      </c>
      <c r="G154">
        <v>0</v>
      </c>
    </row>
    <row r="155" spans="1:7">
      <c r="A155" s="7">
        <v>46200</v>
      </c>
      <c r="B155" s="8">
        <v>7</v>
      </c>
      <c r="D155">
        <v>195</v>
      </c>
      <c r="E155">
        <v>4.0999999999999996</v>
      </c>
      <c r="F155">
        <v>4.28</v>
      </c>
      <c r="G155">
        <v>0</v>
      </c>
    </row>
    <row r="156" spans="1:7">
      <c r="A156" s="7">
        <v>46201</v>
      </c>
      <c r="B156" s="8">
        <v>1</v>
      </c>
      <c r="D156">
        <v>110</v>
      </c>
      <c r="E156">
        <v>1.93</v>
      </c>
      <c r="F156">
        <v>1.69</v>
      </c>
      <c r="G156">
        <v>0</v>
      </c>
    </row>
    <row r="157" spans="1:7">
      <c r="A157" s="7">
        <v>46201</v>
      </c>
      <c r="B157" s="8">
        <v>2</v>
      </c>
      <c r="D157">
        <v>110</v>
      </c>
      <c r="E157">
        <v>1.93</v>
      </c>
      <c r="F157">
        <v>1.75</v>
      </c>
      <c r="G157">
        <v>0</v>
      </c>
    </row>
    <row r="158" spans="1:7">
      <c r="A158" s="7">
        <v>46201</v>
      </c>
      <c r="B158" s="8">
        <v>3</v>
      </c>
      <c r="D158">
        <v>210</v>
      </c>
      <c r="E158">
        <v>3.9</v>
      </c>
      <c r="F158">
        <v>3.9</v>
      </c>
      <c r="G158">
        <v>0</v>
      </c>
    </row>
    <row r="159" spans="1:7">
      <c r="A159" s="7">
        <v>46201</v>
      </c>
      <c r="B159" s="8">
        <v>4</v>
      </c>
      <c r="D159">
        <v>210</v>
      </c>
      <c r="E159">
        <v>0</v>
      </c>
      <c r="F159">
        <v>3.62</v>
      </c>
      <c r="G159">
        <v>0</v>
      </c>
    </row>
    <row r="160" spans="1:7">
      <c r="A160" s="7">
        <v>46201</v>
      </c>
      <c r="B160" s="8">
        <v>5</v>
      </c>
      <c r="D160">
        <v>210</v>
      </c>
      <c r="E160">
        <v>4</v>
      </c>
      <c r="F160">
        <v>4.2300000000000004</v>
      </c>
      <c r="G160">
        <v>0</v>
      </c>
    </row>
    <row r="161" spans="1:7">
      <c r="A161" s="7">
        <v>46201</v>
      </c>
      <c r="B161" s="8">
        <v>6</v>
      </c>
      <c r="D161">
        <v>195</v>
      </c>
      <c r="E161">
        <v>4.0999999999999996</v>
      </c>
      <c r="F161">
        <v>3.84</v>
      </c>
      <c r="G161">
        <v>0</v>
      </c>
    </row>
    <row r="162" spans="1:7">
      <c r="A162" s="7">
        <v>46201</v>
      </c>
      <c r="B162" s="8">
        <v>7</v>
      </c>
      <c r="D162">
        <v>195</v>
      </c>
      <c r="E162">
        <v>4.0999999999999996</v>
      </c>
      <c r="F162">
        <v>4.26</v>
      </c>
      <c r="G162">
        <v>0</v>
      </c>
    </row>
    <row r="163" spans="1:7">
      <c r="A163" s="7">
        <v>46202</v>
      </c>
      <c r="B163" s="8">
        <v>1</v>
      </c>
      <c r="D163">
        <v>110</v>
      </c>
      <c r="E163">
        <v>1.93</v>
      </c>
      <c r="F163">
        <v>1.72</v>
      </c>
      <c r="G163">
        <v>0</v>
      </c>
    </row>
    <row r="164" spans="1:7">
      <c r="A164" s="7">
        <v>46202</v>
      </c>
      <c r="B164" s="8">
        <v>2</v>
      </c>
      <c r="D164">
        <v>110</v>
      </c>
      <c r="E164">
        <v>1.93</v>
      </c>
      <c r="F164">
        <v>1.81</v>
      </c>
      <c r="G164">
        <v>0</v>
      </c>
    </row>
    <row r="165" spans="1:7">
      <c r="A165" s="7">
        <v>46202</v>
      </c>
      <c r="B165" s="8">
        <v>3</v>
      </c>
      <c r="D165">
        <v>210</v>
      </c>
      <c r="E165">
        <v>3.9</v>
      </c>
      <c r="F165">
        <v>3.85</v>
      </c>
      <c r="G165">
        <v>0</v>
      </c>
    </row>
    <row r="166" spans="1:7">
      <c r="A166" s="7">
        <v>46202</v>
      </c>
      <c r="B166" s="8">
        <v>4</v>
      </c>
      <c r="D166">
        <v>210</v>
      </c>
      <c r="E166">
        <v>0</v>
      </c>
      <c r="F166">
        <v>3.64</v>
      </c>
      <c r="G166">
        <v>0</v>
      </c>
    </row>
    <row r="167" spans="1:7">
      <c r="A167" s="7">
        <v>46202</v>
      </c>
      <c r="B167" s="8">
        <v>5</v>
      </c>
      <c r="D167">
        <v>210</v>
      </c>
      <c r="E167">
        <v>4</v>
      </c>
      <c r="F167">
        <v>4.16</v>
      </c>
      <c r="G167">
        <v>0</v>
      </c>
    </row>
    <row r="168" spans="1:7">
      <c r="A168" s="7">
        <v>46202</v>
      </c>
      <c r="B168" s="8">
        <v>6</v>
      </c>
      <c r="D168">
        <v>195</v>
      </c>
      <c r="E168">
        <v>4.0999999999999996</v>
      </c>
      <c r="F168">
        <v>3.84</v>
      </c>
      <c r="G168">
        <v>0</v>
      </c>
    </row>
    <row r="169" spans="1:7">
      <c r="A169" s="7">
        <v>46202</v>
      </c>
      <c r="B169" s="8">
        <v>7</v>
      </c>
      <c r="D169">
        <v>195</v>
      </c>
      <c r="E169">
        <v>4.0999999999999996</v>
      </c>
      <c r="F169">
        <v>4.28</v>
      </c>
      <c r="G169">
        <v>0</v>
      </c>
    </row>
    <row r="170" spans="1:7">
      <c r="A170" s="7">
        <v>46203</v>
      </c>
      <c r="B170" s="8">
        <v>1</v>
      </c>
      <c r="D170">
        <v>110</v>
      </c>
      <c r="E170">
        <v>1.93</v>
      </c>
      <c r="F170">
        <v>1.69</v>
      </c>
      <c r="G170">
        <v>0</v>
      </c>
    </row>
    <row r="171" spans="1:7">
      <c r="A171" s="7">
        <v>46203</v>
      </c>
      <c r="B171" s="8">
        <v>2</v>
      </c>
      <c r="D171">
        <v>110</v>
      </c>
      <c r="E171">
        <v>1.93</v>
      </c>
      <c r="F171">
        <v>1.72</v>
      </c>
      <c r="G171">
        <v>0</v>
      </c>
    </row>
    <row r="172" spans="1:7">
      <c r="A172" s="7">
        <v>46203</v>
      </c>
      <c r="B172" s="8">
        <v>3</v>
      </c>
      <c r="D172">
        <v>210</v>
      </c>
      <c r="E172">
        <v>3.9</v>
      </c>
      <c r="F172">
        <v>3.79</v>
      </c>
      <c r="G172">
        <v>0</v>
      </c>
    </row>
    <row r="173" spans="1:7">
      <c r="A173" s="7">
        <v>46203</v>
      </c>
      <c r="B173" s="8">
        <v>4</v>
      </c>
      <c r="D173">
        <v>210</v>
      </c>
      <c r="E173">
        <v>0</v>
      </c>
      <c r="F173">
        <v>3.61</v>
      </c>
      <c r="G173">
        <v>0</v>
      </c>
    </row>
    <row r="174" spans="1:7">
      <c r="A174" s="7">
        <v>46203</v>
      </c>
      <c r="B174" s="8">
        <v>5</v>
      </c>
      <c r="D174">
        <v>210</v>
      </c>
      <c r="E174">
        <v>4</v>
      </c>
      <c r="F174">
        <v>4.08</v>
      </c>
      <c r="G174">
        <v>0</v>
      </c>
    </row>
    <row r="175" spans="1:7">
      <c r="A175" s="7">
        <v>46203</v>
      </c>
      <c r="B175" s="8">
        <v>6</v>
      </c>
      <c r="D175">
        <v>195</v>
      </c>
      <c r="E175">
        <v>4.0999999999999996</v>
      </c>
      <c r="F175">
        <v>3.85</v>
      </c>
      <c r="G175">
        <v>0</v>
      </c>
    </row>
    <row r="176" spans="1:7">
      <c r="A176" s="7">
        <v>46203</v>
      </c>
      <c r="B176" s="8">
        <v>7</v>
      </c>
      <c r="D176">
        <v>195</v>
      </c>
      <c r="E176">
        <v>4.0999999999999996</v>
      </c>
      <c r="F176">
        <v>3.31</v>
      </c>
      <c r="G176">
        <v>195</v>
      </c>
    </row>
    <row r="177" spans="1:7">
      <c r="A177" s="7">
        <v>46204</v>
      </c>
      <c r="B177" s="8">
        <v>1</v>
      </c>
      <c r="D177">
        <v>110</v>
      </c>
      <c r="E177">
        <v>1.84</v>
      </c>
      <c r="F177">
        <v>1.71</v>
      </c>
      <c r="G177">
        <v>0</v>
      </c>
    </row>
    <row r="178" spans="1:7">
      <c r="A178" s="7">
        <v>46204</v>
      </c>
      <c r="B178" s="8">
        <v>2</v>
      </c>
      <c r="D178">
        <v>110</v>
      </c>
      <c r="E178">
        <v>1.87</v>
      </c>
      <c r="F178">
        <v>1.74</v>
      </c>
      <c r="G178">
        <v>0</v>
      </c>
    </row>
    <row r="179" spans="1:7">
      <c r="A179" s="7">
        <v>46204</v>
      </c>
      <c r="B179" s="8">
        <v>3</v>
      </c>
      <c r="D179">
        <v>210</v>
      </c>
      <c r="E179">
        <v>3.67</v>
      </c>
      <c r="F179">
        <v>3.82</v>
      </c>
      <c r="G179">
        <v>0</v>
      </c>
    </row>
    <row r="180" spans="1:7">
      <c r="A180" s="7">
        <v>46204</v>
      </c>
      <c r="B180" s="8">
        <v>4</v>
      </c>
      <c r="D180">
        <v>210</v>
      </c>
      <c r="E180">
        <v>0</v>
      </c>
      <c r="F180">
        <v>3.63</v>
      </c>
      <c r="G180">
        <v>0</v>
      </c>
    </row>
    <row r="181" spans="1:7">
      <c r="A181" s="7">
        <v>46204</v>
      </c>
      <c r="B181" s="8">
        <v>5</v>
      </c>
      <c r="D181">
        <v>210</v>
      </c>
      <c r="E181">
        <v>3.81</v>
      </c>
      <c r="F181">
        <v>4.0599999999999996</v>
      </c>
      <c r="G181">
        <v>0</v>
      </c>
    </row>
    <row r="182" spans="1:7">
      <c r="A182" s="7">
        <v>46204</v>
      </c>
      <c r="B182" s="8">
        <v>6</v>
      </c>
      <c r="D182">
        <v>195</v>
      </c>
      <c r="E182">
        <v>3.84</v>
      </c>
      <c r="F182">
        <v>3.86</v>
      </c>
      <c r="G182">
        <v>0</v>
      </c>
    </row>
    <row r="183" spans="1:7">
      <c r="A183" s="7">
        <v>46204</v>
      </c>
      <c r="B183" s="8">
        <v>7</v>
      </c>
      <c r="D183">
        <v>195</v>
      </c>
      <c r="E183">
        <v>0</v>
      </c>
      <c r="F183">
        <v>3.28</v>
      </c>
      <c r="G183">
        <v>195</v>
      </c>
    </row>
    <row r="184" spans="1:7">
      <c r="A184" s="7">
        <v>46205</v>
      </c>
      <c r="B184" s="8">
        <v>1</v>
      </c>
      <c r="D184">
        <v>110</v>
      </c>
      <c r="E184">
        <v>1.84</v>
      </c>
      <c r="F184">
        <v>1.71</v>
      </c>
      <c r="G184">
        <v>0</v>
      </c>
    </row>
    <row r="185" spans="1:7">
      <c r="A185" s="7">
        <v>46205</v>
      </c>
      <c r="B185" s="8">
        <v>2</v>
      </c>
      <c r="D185">
        <v>110</v>
      </c>
      <c r="E185">
        <v>1.87</v>
      </c>
      <c r="F185">
        <v>1.76</v>
      </c>
      <c r="G185">
        <v>0</v>
      </c>
    </row>
    <row r="186" spans="1:7">
      <c r="A186" s="7">
        <v>46205</v>
      </c>
      <c r="B186" s="8">
        <v>3</v>
      </c>
      <c r="D186">
        <v>210</v>
      </c>
      <c r="E186">
        <v>3.67</v>
      </c>
      <c r="F186">
        <v>3.82</v>
      </c>
      <c r="G186">
        <v>0</v>
      </c>
    </row>
    <row r="187" spans="1:7">
      <c r="A187" s="7">
        <v>46205</v>
      </c>
      <c r="B187" s="8">
        <v>4</v>
      </c>
      <c r="D187">
        <v>210</v>
      </c>
      <c r="E187">
        <v>0</v>
      </c>
      <c r="F187">
        <v>3.58</v>
      </c>
      <c r="G187">
        <v>0</v>
      </c>
    </row>
    <row r="188" spans="1:7">
      <c r="A188" s="7">
        <v>46205</v>
      </c>
      <c r="B188" s="8">
        <v>5</v>
      </c>
      <c r="D188">
        <v>210</v>
      </c>
      <c r="E188">
        <v>3.81</v>
      </c>
      <c r="F188">
        <v>4.08</v>
      </c>
      <c r="G188">
        <v>0</v>
      </c>
    </row>
    <row r="189" spans="1:7">
      <c r="A189" s="7">
        <v>46205</v>
      </c>
      <c r="B189" s="8">
        <v>6</v>
      </c>
      <c r="D189">
        <v>195</v>
      </c>
      <c r="E189">
        <v>3.84</v>
      </c>
      <c r="F189">
        <v>3.85</v>
      </c>
      <c r="G189">
        <v>0</v>
      </c>
    </row>
    <row r="190" spans="1:7">
      <c r="A190" s="7">
        <v>46205</v>
      </c>
      <c r="B190" s="8">
        <v>7</v>
      </c>
      <c r="D190">
        <v>195</v>
      </c>
      <c r="E190">
        <v>0</v>
      </c>
      <c r="F190">
        <v>4.07</v>
      </c>
      <c r="G190">
        <v>0</v>
      </c>
    </row>
    <row r="191" spans="1:7">
      <c r="A191" s="7">
        <v>46206</v>
      </c>
      <c r="B191" s="8">
        <v>1</v>
      </c>
      <c r="D191">
        <v>110</v>
      </c>
      <c r="E191">
        <v>1.84</v>
      </c>
      <c r="F191">
        <v>1.54</v>
      </c>
      <c r="G191">
        <v>0</v>
      </c>
    </row>
    <row r="192" spans="1:7">
      <c r="A192" s="7">
        <v>46206</v>
      </c>
      <c r="B192" s="8">
        <v>2</v>
      </c>
      <c r="D192">
        <v>110</v>
      </c>
      <c r="E192">
        <v>1.87</v>
      </c>
      <c r="F192">
        <v>1.58</v>
      </c>
      <c r="G192">
        <v>0</v>
      </c>
    </row>
    <row r="193" spans="1:7">
      <c r="A193" s="7">
        <v>46206</v>
      </c>
      <c r="B193" s="8">
        <v>3</v>
      </c>
      <c r="D193">
        <v>210</v>
      </c>
      <c r="E193">
        <v>3.67</v>
      </c>
      <c r="F193">
        <v>3.59</v>
      </c>
      <c r="G193">
        <v>0</v>
      </c>
    </row>
    <row r="194" spans="1:7">
      <c r="A194" s="7">
        <v>46206</v>
      </c>
      <c r="B194" s="8">
        <v>4</v>
      </c>
      <c r="D194">
        <v>210</v>
      </c>
      <c r="E194">
        <v>0</v>
      </c>
      <c r="F194">
        <v>3.17</v>
      </c>
      <c r="G194">
        <v>0</v>
      </c>
    </row>
    <row r="195" spans="1:7">
      <c r="A195" s="7">
        <v>46206</v>
      </c>
      <c r="B195" s="8">
        <v>5</v>
      </c>
      <c r="D195">
        <v>210</v>
      </c>
      <c r="E195">
        <v>3.81</v>
      </c>
      <c r="F195">
        <v>3.88</v>
      </c>
      <c r="G195">
        <v>0</v>
      </c>
    </row>
    <row r="196" spans="1:7">
      <c r="A196" s="7">
        <v>46206</v>
      </c>
      <c r="B196" s="8">
        <v>6</v>
      </c>
      <c r="D196">
        <v>195</v>
      </c>
      <c r="E196">
        <v>3.84</v>
      </c>
      <c r="F196">
        <v>3.84</v>
      </c>
      <c r="G196">
        <v>0</v>
      </c>
    </row>
    <row r="197" spans="1:7">
      <c r="A197" s="7">
        <v>46206</v>
      </c>
      <c r="B197" s="8">
        <v>7</v>
      </c>
      <c r="D197">
        <v>195</v>
      </c>
      <c r="E197">
        <v>0</v>
      </c>
      <c r="F197">
        <v>3.96</v>
      </c>
      <c r="G197">
        <v>0</v>
      </c>
    </row>
    <row r="198" spans="1:7">
      <c r="A198" s="7">
        <v>46207</v>
      </c>
      <c r="B198" s="8">
        <v>1</v>
      </c>
      <c r="D198">
        <v>110</v>
      </c>
      <c r="E198">
        <v>1.84</v>
      </c>
      <c r="F198">
        <v>1.58</v>
      </c>
      <c r="G198">
        <v>0</v>
      </c>
    </row>
    <row r="199" spans="1:7">
      <c r="A199" s="7">
        <v>46207</v>
      </c>
      <c r="B199" s="8">
        <v>2</v>
      </c>
      <c r="D199">
        <v>110</v>
      </c>
      <c r="E199">
        <v>1.87</v>
      </c>
      <c r="F199">
        <v>1.63</v>
      </c>
      <c r="G199">
        <v>0</v>
      </c>
    </row>
    <row r="200" spans="1:7">
      <c r="A200" s="7">
        <v>46207</v>
      </c>
      <c r="B200" s="8">
        <v>3</v>
      </c>
      <c r="D200">
        <v>210</v>
      </c>
      <c r="E200">
        <v>3.67</v>
      </c>
      <c r="F200">
        <v>3.62</v>
      </c>
      <c r="G200">
        <v>0</v>
      </c>
    </row>
    <row r="201" spans="1:7">
      <c r="A201" s="7">
        <v>46207</v>
      </c>
      <c r="B201" s="8">
        <v>4</v>
      </c>
      <c r="D201">
        <v>210</v>
      </c>
      <c r="E201">
        <v>0</v>
      </c>
      <c r="F201">
        <v>3.25</v>
      </c>
      <c r="G201">
        <v>0</v>
      </c>
    </row>
    <row r="202" spans="1:7">
      <c r="A202" s="7">
        <v>46207</v>
      </c>
      <c r="B202" s="8">
        <v>5</v>
      </c>
      <c r="D202">
        <v>210</v>
      </c>
      <c r="E202">
        <v>3.81</v>
      </c>
      <c r="F202">
        <v>3.96</v>
      </c>
      <c r="G202">
        <v>0</v>
      </c>
    </row>
    <row r="203" spans="1:7">
      <c r="A203" s="7">
        <v>46207</v>
      </c>
      <c r="B203" s="8">
        <v>6</v>
      </c>
      <c r="D203">
        <v>195</v>
      </c>
      <c r="E203">
        <v>3.84</v>
      </c>
      <c r="F203">
        <v>3.82</v>
      </c>
      <c r="G203">
        <v>0</v>
      </c>
    </row>
    <row r="204" spans="1:7">
      <c r="A204" s="7">
        <v>46207</v>
      </c>
      <c r="B204" s="8">
        <v>7</v>
      </c>
      <c r="D204">
        <v>195</v>
      </c>
      <c r="E204">
        <v>0</v>
      </c>
      <c r="F204">
        <v>3.95</v>
      </c>
      <c r="G204">
        <v>0</v>
      </c>
    </row>
    <row r="205" spans="1:7">
      <c r="A205" s="7">
        <v>46208</v>
      </c>
      <c r="B205" s="8">
        <v>1</v>
      </c>
      <c r="D205">
        <v>110</v>
      </c>
      <c r="E205">
        <v>1.84</v>
      </c>
      <c r="F205">
        <v>1.5</v>
      </c>
      <c r="G205">
        <v>0</v>
      </c>
    </row>
    <row r="206" spans="1:7">
      <c r="A206" s="7">
        <v>46208</v>
      </c>
      <c r="B206" s="8">
        <v>2</v>
      </c>
      <c r="D206">
        <v>110</v>
      </c>
      <c r="E206">
        <v>1.87</v>
      </c>
      <c r="F206">
        <v>1.55</v>
      </c>
      <c r="G206">
        <v>0</v>
      </c>
    </row>
    <row r="207" spans="1:7">
      <c r="A207" s="7">
        <v>46208</v>
      </c>
      <c r="B207" s="8">
        <v>3</v>
      </c>
      <c r="D207">
        <v>210</v>
      </c>
      <c r="E207">
        <v>3.67</v>
      </c>
      <c r="F207">
        <v>3.52</v>
      </c>
      <c r="G207">
        <v>0</v>
      </c>
    </row>
    <row r="208" spans="1:7">
      <c r="A208" s="7">
        <v>46208</v>
      </c>
      <c r="B208" s="8">
        <v>4</v>
      </c>
      <c r="D208">
        <v>210</v>
      </c>
      <c r="E208">
        <v>0</v>
      </c>
      <c r="F208">
        <v>0</v>
      </c>
      <c r="G208">
        <v>210</v>
      </c>
    </row>
    <row r="209" spans="1:7">
      <c r="A209" s="7">
        <v>46208</v>
      </c>
      <c r="B209" s="8">
        <v>5</v>
      </c>
      <c r="D209">
        <v>210</v>
      </c>
      <c r="E209">
        <v>3.81</v>
      </c>
      <c r="F209">
        <v>3.86</v>
      </c>
      <c r="G209">
        <v>0</v>
      </c>
    </row>
    <row r="210" spans="1:7">
      <c r="A210" s="7">
        <v>46208</v>
      </c>
      <c r="B210" s="8">
        <v>6</v>
      </c>
      <c r="D210">
        <v>195</v>
      </c>
      <c r="E210">
        <v>3.84</v>
      </c>
      <c r="F210">
        <v>3.82</v>
      </c>
      <c r="G210">
        <v>0</v>
      </c>
    </row>
    <row r="211" spans="1:7">
      <c r="A211" s="7">
        <v>46208</v>
      </c>
      <c r="B211" s="8">
        <v>7</v>
      </c>
      <c r="D211">
        <v>195</v>
      </c>
      <c r="E211">
        <v>0</v>
      </c>
      <c r="F211">
        <v>3.86</v>
      </c>
      <c r="G211">
        <v>0</v>
      </c>
    </row>
    <row r="212" spans="1:7">
      <c r="A212" s="7">
        <v>46209</v>
      </c>
      <c r="B212" s="8">
        <v>1</v>
      </c>
      <c r="D212">
        <v>110</v>
      </c>
      <c r="E212">
        <v>1.84</v>
      </c>
      <c r="F212">
        <v>1.56</v>
      </c>
      <c r="G212">
        <v>0</v>
      </c>
    </row>
    <row r="213" spans="1:7">
      <c r="A213" s="7">
        <v>46209</v>
      </c>
      <c r="B213" s="8">
        <v>2</v>
      </c>
      <c r="D213">
        <v>110</v>
      </c>
      <c r="E213">
        <v>1.87</v>
      </c>
      <c r="F213">
        <v>1.61</v>
      </c>
      <c r="G213">
        <v>0</v>
      </c>
    </row>
    <row r="214" spans="1:7">
      <c r="A214" s="7">
        <v>46209</v>
      </c>
      <c r="B214" s="8">
        <v>3</v>
      </c>
      <c r="D214">
        <v>210</v>
      </c>
      <c r="E214">
        <v>3.67</v>
      </c>
      <c r="F214">
        <v>3.6</v>
      </c>
      <c r="G214">
        <v>0</v>
      </c>
    </row>
    <row r="215" spans="1:7">
      <c r="A215" s="7">
        <v>46209</v>
      </c>
      <c r="B215" s="8">
        <v>4</v>
      </c>
      <c r="D215">
        <v>210</v>
      </c>
      <c r="E215">
        <v>0</v>
      </c>
      <c r="F215">
        <v>0</v>
      </c>
      <c r="G215">
        <v>210</v>
      </c>
    </row>
    <row r="216" spans="1:7">
      <c r="A216" s="7">
        <v>46209</v>
      </c>
      <c r="B216" s="8">
        <v>5</v>
      </c>
      <c r="D216">
        <v>210</v>
      </c>
      <c r="E216">
        <v>3.81</v>
      </c>
      <c r="F216">
        <v>3.88</v>
      </c>
      <c r="G216">
        <v>0</v>
      </c>
    </row>
    <row r="217" spans="1:7">
      <c r="A217" s="7">
        <v>46209</v>
      </c>
      <c r="B217" s="8">
        <v>6</v>
      </c>
      <c r="D217">
        <v>195</v>
      </c>
      <c r="E217">
        <v>3.84</v>
      </c>
      <c r="F217">
        <v>3.84</v>
      </c>
      <c r="G217">
        <v>0</v>
      </c>
    </row>
    <row r="218" spans="1:7">
      <c r="A218" s="7">
        <v>46209</v>
      </c>
      <c r="B218" s="8">
        <v>7</v>
      </c>
      <c r="D218">
        <v>195</v>
      </c>
      <c r="E218">
        <v>0</v>
      </c>
      <c r="F218">
        <v>3.43</v>
      </c>
      <c r="G218">
        <v>0</v>
      </c>
    </row>
    <row r="219" spans="1:7">
      <c r="A219" s="7">
        <v>46210</v>
      </c>
      <c r="B219" s="8">
        <v>1</v>
      </c>
      <c r="D219">
        <v>110</v>
      </c>
      <c r="E219">
        <v>1.84</v>
      </c>
      <c r="F219">
        <v>1.6</v>
      </c>
      <c r="G219">
        <v>0</v>
      </c>
    </row>
    <row r="220" spans="1:7">
      <c r="A220" s="7">
        <v>46210</v>
      </c>
      <c r="B220" s="8">
        <v>2</v>
      </c>
      <c r="D220">
        <v>110</v>
      </c>
      <c r="E220">
        <v>1.87</v>
      </c>
      <c r="F220">
        <v>1.6</v>
      </c>
      <c r="G220">
        <v>0</v>
      </c>
    </row>
    <row r="221" spans="1:7">
      <c r="A221" s="7">
        <v>46210</v>
      </c>
      <c r="B221" s="8">
        <v>3</v>
      </c>
      <c r="D221">
        <v>210</v>
      </c>
      <c r="E221">
        <v>3.67</v>
      </c>
      <c r="F221">
        <v>3.61</v>
      </c>
      <c r="G221">
        <v>0</v>
      </c>
    </row>
    <row r="222" spans="1:7">
      <c r="A222" s="7">
        <v>46210</v>
      </c>
      <c r="B222" s="8">
        <v>4</v>
      </c>
      <c r="D222">
        <v>210</v>
      </c>
      <c r="E222">
        <v>0</v>
      </c>
      <c r="F222">
        <v>0</v>
      </c>
      <c r="G222">
        <v>210</v>
      </c>
    </row>
    <row r="223" spans="1:7">
      <c r="A223" s="7">
        <v>46210</v>
      </c>
      <c r="B223" s="8">
        <v>5</v>
      </c>
      <c r="D223">
        <v>210</v>
      </c>
      <c r="E223">
        <v>3.81</v>
      </c>
      <c r="F223">
        <v>3.9</v>
      </c>
      <c r="G223">
        <v>0</v>
      </c>
    </row>
    <row r="224" spans="1:7">
      <c r="A224" s="7">
        <v>46210</v>
      </c>
      <c r="B224" s="8">
        <v>6</v>
      </c>
      <c r="D224">
        <v>195</v>
      </c>
      <c r="E224">
        <v>3.84</v>
      </c>
      <c r="F224">
        <v>3.84</v>
      </c>
      <c r="G224">
        <v>0</v>
      </c>
    </row>
    <row r="225" spans="1:7">
      <c r="A225" s="7">
        <v>46210</v>
      </c>
      <c r="B225" s="8">
        <v>7</v>
      </c>
      <c r="D225">
        <v>195</v>
      </c>
      <c r="E225">
        <v>0</v>
      </c>
      <c r="F225">
        <v>3.95</v>
      </c>
      <c r="G225">
        <v>0</v>
      </c>
    </row>
    <row r="226" spans="1:7">
      <c r="A226" s="7">
        <v>46211</v>
      </c>
      <c r="B226" s="8">
        <v>1</v>
      </c>
      <c r="D226">
        <v>110</v>
      </c>
      <c r="E226">
        <v>1.84</v>
      </c>
      <c r="F226">
        <v>1.51</v>
      </c>
      <c r="G226">
        <v>0</v>
      </c>
    </row>
    <row r="227" spans="1:7">
      <c r="A227" s="7">
        <v>46211</v>
      </c>
      <c r="B227" s="8">
        <v>2</v>
      </c>
      <c r="D227">
        <v>110</v>
      </c>
      <c r="E227">
        <v>1.87</v>
      </c>
      <c r="F227">
        <v>1.53</v>
      </c>
      <c r="G227">
        <v>0</v>
      </c>
    </row>
    <row r="228" spans="1:7">
      <c r="A228" s="7">
        <v>46211</v>
      </c>
      <c r="B228" s="8">
        <v>3</v>
      </c>
      <c r="D228">
        <v>210</v>
      </c>
      <c r="E228">
        <v>3.67</v>
      </c>
      <c r="F228">
        <v>3.53</v>
      </c>
      <c r="G228">
        <v>0</v>
      </c>
    </row>
    <row r="229" spans="1:7">
      <c r="A229" s="7">
        <v>46211</v>
      </c>
      <c r="B229" s="8">
        <v>4</v>
      </c>
      <c r="D229">
        <v>210</v>
      </c>
      <c r="E229">
        <v>0</v>
      </c>
      <c r="F229">
        <v>0</v>
      </c>
      <c r="G229">
        <v>210</v>
      </c>
    </row>
    <row r="230" spans="1:7">
      <c r="A230" s="7">
        <v>46211</v>
      </c>
      <c r="B230" s="8">
        <v>5</v>
      </c>
      <c r="D230">
        <v>210</v>
      </c>
      <c r="E230">
        <v>3.81</v>
      </c>
      <c r="F230">
        <v>3.86</v>
      </c>
      <c r="G230">
        <v>0</v>
      </c>
    </row>
    <row r="231" spans="1:7">
      <c r="A231" s="7">
        <v>46211</v>
      </c>
      <c r="B231" s="8">
        <v>6</v>
      </c>
      <c r="D231">
        <v>195</v>
      </c>
      <c r="E231">
        <v>3.84</v>
      </c>
      <c r="F231">
        <v>3.84</v>
      </c>
      <c r="G231">
        <v>0</v>
      </c>
    </row>
    <row r="232" spans="1:7">
      <c r="A232" s="7">
        <v>46211</v>
      </c>
      <c r="B232" s="8">
        <v>7</v>
      </c>
      <c r="D232">
        <v>195</v>
      </c>
      <c r="E232">
        <v>0</v>
      </c>
      <c r="F232">
        <v>3.89</v>
      </c>
      <c r="G232">
        <v>0</v>
      </c>
    </row>
    <row r="233" spans="1:7">
      <c r="A233" s="7">
        <v>46212</v>
      </c>
      <c r="B233" s="8">
        <v>1</v>
      </c>
      <c r="D233">
        <v>110</v>
      </c>
      <c r="E233">
        <v>1.84</v>
      </c>
      <c r="F233">
        <v>0</v>
      </c>
      <c r="G233">
        <v>110</v>
      </c>
    </row>
    <row r="234" spans="1:7">
      <c r="A234" s="7">
        <v>46212</v>
      </c>
      <c r="B234" s="8">
        <v>2</v>
      </c>
      <c r="D234">
        <v>110</v>
      </c>
      <c r="E234">
        <v>1.87</v>
      </c>
      <c r="F234">
        <v>1.49</v>
      </c>
      <c r="G234">
        <v>0</v>
      </c>
    </row>
    <row r="235" spans="1:7">
      <c r="A235" s="7">
        <v>46212</v>
      </c>
      <c r="B235" s="8">
        <v>3</v>
      </c>
      <c r="D235">
        <v>210</v>
      </c>
      <c r="E235">
        <v>3.67</v>
      </c>
      <c r="F235">
        <v>1.2</v>
      </c>
      <c r="G235">
        <v>210</v>
      </c>
    </row>
    <row r="236" spans="1:7">
      <c r="A236" s="7">
        <v>46212</v>
      </c>
      <c r="B236" s="8">
        <v>4</v>
      </c>
      <c r="D236">
        <v>210</v>
      </c>
      <c r="E236">
        <v>0</v>
      </c>
      <c r="F236">
        <v>0</v>
      </c>
      <c r="G236">
        <v>210</v>
      </c>
    </row>
    <row r="237" spans="1:7">
      <c r="A237" s="7">
        <v>46212</v>
      </c>
      <c r="B237" s="8">
        <v>5</v>
      </c>
      <c r="D237">
        <v>210</v>
      </c>
      <c r="E237">
        <v>3.81</v>
      </c>
      <c r="F237">
        <v>3.89</v>
      </c>
      <c r="G237">
        <v>0</v>
      </c>
    </row>
    <row r="238" spans="1:7">
      <c r="A238" s="7">
        <v>46212</v>
      </c>
      <c r="B238" s="8">
        <v>6</v>
      </c>
      <c r="D238">
        <v>195</v>
      </c>
      <c r="E238">
        <v>3.84</v>
      </c>
      <c r="F238">
        <v>3.83</v>
      </c>
      <c r="G238">
        <v>0</v>
      </c>
    </row>
    <row r="239" spans="1:7">
      <c r="A239" s="7">
        <v>46212</v>
      </c>
      <c r="B239" s="8">
        <v>7</v>
      </c>
      <c r="D239">
        <v>195</v>
      </c>
      <c r="E239">
        <v>0</v>
      </c>
      <c r="F239">
        <v>3.88</v>
      </c>
      <c r="G239">
        <v>0</v>
      </c>
    </row>
    <row r="240" spans="1:7">
      <c r="A240" s="7">
        <v>46213</v>
      </c>
      <c r="B240" s="8">
        <v>1</v>
      </c>
      <c r="D240">
        <v>110</v>
      </c>
      <c r="E240">
        <v>1.84</v>
      </c>
      <c r="F240">
        <v>0</v>
      </c>
      <c r="G240">
        <v>110</v>
      </c>
    </row>
    <row r="241" spans="1:7">
      <c r="A241" s="7">
        <v>46213</v>
      </c>
      <c r="B241" s="8">
        <v>2</v>
      </c>
      <c r="D241">
        <v>110</v>
      </c>
      <c r="E241">
        <v>1.87</v>
      </c>
      <c r="F241">
        <v>1.46</v>
      </c>
      <c r="G241">
        <v>0</v>
      </c>
    </row>
    <row r="242" spans="1:7">
      <c r="A242" s="7">
        <v>46213</v>
      </c>
      <c r="B242" s="8">
        <v>3</v>
      </c>
      <c r="D242">
        <v>210</v>
      </c>
      <c r="E242">
        <v>3.67</v>
      </c>
      <c r="F242">
        <v>0.08</v>
      </c>
      <c r="G242">
        <v>210</v>
      </c>
    </row>
    <row r="243" spans="1:7">
      <c r="A243" s="7">
        <v>46213</v>
      </c>
      <c r="B243" s="8">
        <v>4</v>
      </c>
      <c r="D243">
        <v>210</v>
      </c>
      <c r="E243">
        <v>0</v>
      </c>
      <c r="F243">
        <v>0</v>
      </c>
      <c r="G243">
        <v>210</v>
      </c>
    </row>
    <row r="244" spans="1:7">
      <c r="A244" s="7">
        <v>46213</v>
      </c>
      <c r="B244" s="8">
        <v>5</v>
      </c>
      <c r="D244">
        <v>210</v>
      </c>
      <c r="E244">
        <v>3.81</v>
      </c>
      <c r="F244">
        <v>3.73</v>
      </c>
      <c r="G244">
        <v>0</v>
      </c>
    </row>
    <row r="245" spans="1:7">
      <c r="A245" s="7">
        <v>46213</v>
      </c>
      <c r="B245" s="8">
        <v>6</v>
      </c>
      <c r="D245">
        <v>195</v>
      </c>
      <c r="E245">
        <v>3.84</v>
      </c>
      <c r="F245">
        <v>3.85</v>
      </c>
      <c r="G245">
        <v>0</v>
      </c>
    </row>
    <row r="246" spans="1:7">
      <c r="A246" s="7">
        <v>46213</v>
      </c>
      <c r="B246" s="8">
        <v>7</v>
      </c>
      <c r="D246">
        <v>195</v>
      </c>
      <c r="E246">
        <v>0</v>
      </c>
      <c r="F246">
        <v>3.78</v>
      </c>
      <c r="G246">
        <v>0</v>
      </c>
    </row>
    <row r="247" spans="1:7">
      <c r="A247" s="7">
        <v>46214</v>
      </c>
      <c r="B247" s="8">
        <v>1</v>
      </c>
      <c r="D247">
        <v>110</v>
      </c>
      <c r="E247">
        <v>1.84</v>
      </c>
      <c r="F247">
        <v>0</v>
      </c>
      <c r="G247">
        <v>110</v>
      </c>
    </row>
    <row r="248" spans="1:7">
      <c r="A248" s="7">
        <v>46214</v>
      </c>
      <c r="B248" s="8">
        <v>2</v>
      </c>
      <c r="D248">
        <v>110</v>
      </c>
      <c r="E248">
        <v>1.87</v>
      </c>
      <c r="F248">
        <v>1.52</v>
      </c>
      <c r="G248">
        <v>0</v>
      </c>
    </row>
    <row r="249" spans="1:7">
      <c r="A249" s="7">
        <v>46214</v>
      </c>
      <c r="B249" s="8">
        <v>3</v>
      </c>
      <c r="D249">
        <v>210</v>
      </c>
      <c r="E249">
        <v>3.67</v>
      </c>
      <c r="F249">
        <v>3.39</v>
      </c>
      <c r="G249">
        <v>0</v>
      </c>
    </row>
    <row r="250" spans="1:7">
      <c r="A250" s="7">
        <v>46214</v>
      </c>
      <c r="B250" s="8">
        <v>4</v>
      </c>
      <c r="D250">
        <v>210</v>
      </c>
      <c r="E250">
        <v>0</v>
      </c>
      <c r="F250">
        <v>0</v>
      </c>
      <c r="G250">
        <v>210</v>
      </c>
    </row>
    <row r="251" spans="1:7">
      <c r="A251" s="7">
        <v>46214</v>
      </c>
      <c r="B251" s="8">
        <v>5</v>
      </c>
      <c r="D251">
        <v>210</v>
      </c>
      <c r="E251">
        <v>3.81</v>
      </c>
      <c r="F251">
        <v>3.81</v>
      </c>
      <c r="G251">
        <v>0</v>
      </c>
    </row>
    <row r="252" spans="1:7">
      <c r="A252" s="7">
        <v>46214</v>
      </c>
      <c r="B252" s="8">
        <v>6</v>
      </c>
      <c r="D252">
        <v>195</v>
      </c>
      <c r="E252">
        <v>3.84</v>
      </c>
      <c r="F252">
        <v>3.83</v>
      </c>
      <c r="G252">
        <v>0</v>
      </c>
    </row>
    <row r="253" spans="1:7">
      <c r="A253" s="7">
        <v>46214</v>
      </c>
      <c r="B253" s="8">
        <v>7</v>
      </c>
      <c r="D253">
        <v>195</v>
      </c>
      <c r="E253">
        <v>0</v>
      </c>
      <c r="F253">
        <v>3.88</v>
      </c>
      <c r="G253">
        <v>0</v>
      </c>
    </row>
    <row r="254" spans="1:7">
      <c r="A254" s="7">
        <v>46215</v>
      </c>
      <c r="B254" s="8">
        <v>1</v>
      </c>
      <c r="D254">
        <v>110</v>
      </c>
      <c r="E254">
        <v>1.84</v>
      </c>
      <c r="F254">
        <v>0</v>
      </c>
      <c r="G254">
        <v>110</v>
      </c>
    </row>
    <row r="255" spans="1:7">
      <c r="A255" s="7">
        <v>46215</v>
      </c>
      <c r="B255" s="8">
        <v>2</v>
      </c>
      <c r="D255">
        <v>110</v>
      </c>
      <c r="E255">
        <v>1.87</v>
      </c>
      <c r="F255">
        <v>1.53</v>
      </c>
      <c r="G255">
        <v>0</v>
      </c>
    </row>
    <row r="256" spans="1:7">
      <c r="A256" s="7">
        <v>46215</v>
      </c>
      <c r="B256" s="8">
        <v>3</v>
      </c>
      <c r="D256">
        <v>210</v>
      </c>
      <c r="E256">
        <v>3.67</v>
      </c>
      <c r="F256">
        <v>3.48</v>
      </c>
      <c r="G256">
        <v>0</v>
      </c>
    </row>
    <row r="257" spans="1:7">
      <c r="A257" s="7">
        <v>46215</v>
      </c>
      <c r="B257" s="8">
        <v>4</v>
      </c>
      <c r="D257">
        <v>210</v>
      </c>
      <c r="E257">
        <v>0</v>
      </c>
      <c r="F257">
        <v>0</v>
      </c>
      <c r="G257">
        <v>210</v>
      </c>
    </row>
    <row r="258" spans="1:7">
      <c r="A258" s="7">
        <v>46215</v>
      </c>
      <c r="B258" s="8">
        <v>5</v>
      </c>
      <c r="D258">
        <v>210</v>
      </c>
      <c r="E258">
        <v>3.81</v>
      </c>
      <c r="F258">
        <v>3.78</v>
      </c>
      <c r="G258">
        <v>0</v>
      </c>
    </row>
    <row r="259" spans="1:7">
      <c r="A259" s="7">
        <v>46215</v>
      </c>
      <c r="B259" s="8">
        <v>6</v>
      </c>
      <c r="D259">
        <v>195</v>
      </c>
      <c r="E259">
        <v>3.84</v>
      </c>
      <c r="F259">
        <v>3.83</v>
      </c>
      <c r="G259">
        <v>0</v>
      </c>
    </row>
    <row r="260" spans="1:7">
      <c r="A260" s="7">
        <v>46215</v>
      </c>
      <c r="B260" s="8">
        <v>7</v>
      </c>
      <c r="D260">
        <v>195</v>
      </c>
      <c r="E260">
        <v>0</v>
      </c>
      <c r="F260">
        <v>3.89</v>
      </c>
      <c r="G260">
        <v>0</v>
      </c>
    </row>
    <row r="261" spans="1:7">
      <c r="A261" s="7">
        <v>46216</v>
      </c>
      <c r="B261" s="8">
        <v>1</v>
      </c>
      <c r="D261">
        <v>110</v>
      </c>
      <c r="E261">
        <v>1.84</v>
      </c>
      <c r="F261">
        <v>0</v>
      </c>
      <c r="G261">
        <v>110</v>
      </c>
    </row>
    <row r="262" spans="1:7">
      <c r="A262" s="7">
        <v>46216</v>
      </c>
      <c r="B262" s="8">
        <v>2</v>
      </c>
      <c r="D262">
        <v>110</v>
      </c>
      <c r="E262">
        <v>1.87</v>
      </c>
      <c r="F262">
        <v>1.69</v>
      </c>
      <c r="G262">
        <v>0</v>
      </c>
    </row>
    <row r="263" spans="1:7">
      <c r="A263" s="7">
        <v>46216</v>
      </c>
      <c r="B263" s="8">
        <v>3</v>
      </c>
      <c r="D263">
        <v>210</v>
      </c>
      <c r="E263">
        <v>3.67</v>
      </c>
      <c r="F263">
        <v>3.69</v>
      </c>
      <c r="G263">
        <v>0</v>
      </c>
    </row>
    <row r="264" spans="1:7">
      <c r="A264" s="7">
        <v>46216</v>
      </c>
      <c r="B264" s="8">
        <v>4</v>
      </c>
      <c r="D264">
        <v>210</v>
      </c>
      <c r="E264">
        <v>0</v>
      </c>
      <c r="F264">
        <v>0</v>
      </c>
      <c r="G264">
        <v>210</v>
      </c>
    </row>
    <row r="265" spans="1:7">
      <c r="A265" s="7">
        <v>46216</v>
      </c>
      <c r="B265" s="8">
        <v>5</v>
      </c>
      <c r="D265">
        <v>210</v>
      </c>
      <c r="E265">
        <v>3.81</v>
      </c>
      <c r="F265">
        <v>4.0199999999999996</v>
      </c>
      <c r="G265">
        <v>0</v>
      </c>
    </row>
    <row r="266" spans="1:7">
      <c r="A266" s="7">
        <v>46216</v>
      </c>
      <c r="B266" s="8">
        <v>6</v>
      </c>
      <c r="D266">
        <v>195</v>
      </c>
      <c r="E266">
        <v>3.84</v>
      </c>
      <c r="F266">
        <v>3.85</v>
      </c>
      <c r="G266">
        <v>0</v>
      </c>
    </row>
    <row r="267" spans="1:7">
      <c r="A267" s="7">
        <v>46216</v>
      </c>
      <c r="B267" s="8">
        <v>7</v>
      </c>
      <c r="D267">
        <v>195</v>
      </c>
      <c r="E267">
        <v>0</v>
      </c>
      <c r="F267">
        <v>4.17</v>
      </c>
      <c r="G267">
        <v>0</v>
      </c>
    </row>
    <row r="268" spans="1:7">
      <c r="A268" s="7">
        <v>46217</v>
      </c>
      <c r="B268" s="8">
        <v>1</v>
      </c>
      <c r="D268">
        <v>110</v>
      </c>
      <c r="E268">
        <v>1.84</v>
      </c>
      <c r="F268">
        <v>0</v>
      </c>
      <c r="G268">
        <v>110</v>
      </c>
    </row>
    <row r="269" spans="1:7">
      <c r="A269" s="7">
        <v>46217</v>
      </c>
      <c r="B269" s="8">
        <v>2</v>
      </c>
      <c r="D269">
        <v>110</v>
      </c>
      <c r="E269">
        <v>1.87</v>
      </c>
      <c r="F269">
        <v>1.77</v>
      </c>
      <c r="G269">
        <v>0</v>
      </c>
    </row>
    <row r="270" spans="1:7">
      <c r="A270" s="7">
        <v>46217</v>
      </c>
      <c r="B270" s="8">
        <v>3</v>
      </c>
      <c r="D270">
        <v>210</v>
      </c>
      <c r="E270">
        <v>3.67</v>
      </c>
      <c r="F270">
        <v>3.82</v>
      </c>
      <c r="G270">
        <v>0</v>
      </c>
    </row>
    <row r="271" spans="1:7">
      <c r="A271" s="7">
        <v>46217</v>
      </c>
      <c r="B271" s="8">
        <v>4</v>
      </c>
      <c r="D271">
        <v>210</v>
      </c>
      <c r="E271">
        <v>0</v>
      </c>
      <c r="F271">
        <v>0</v>
      </c>
      <c r="G271">
        <v>210</v>
      </c>
    </row>
    <row r="272" spans="1:7">
      <c r="A272" s="7">
        <v>46217</v>
      </c>
      <c r="B272" s="8">
        <v>5</v>
      </c>
      <c r="D272">
        <v>210</v>
      </c>
      <c r="E272">
        <v>3.81</v>
      </c>
      <c r="F272">
        <v>4.1100000000000003</v>
      </c>
      <c r="G272">
        <v>0</v>
      </c>
    </row>
    <row r="273" spans="1:7">
      <c r="A273" s="7">
        <v>46217</v>
      </c>
      <c r="B273" s="8">
        <v>6</v>
      </c>
      <c r="D273">
        <v>195</v>
      </c>
      <c r="E273">
        <v>3.84</v>
      </c>
      <c r="F273">
        <v>3.71</v>
      </c>
      <c r="G273">
        <v>0</v>
      </c>
    </row>
    <row r="274" spans="1:7">
      <c r="A274" s="7">
        <v>46217</v>
      </c>
      <c r="B274" s="8">
        <v>7</v>
      </c>
      <c r="D274">
        <v>195</v>
      </c>
      <c r="E274">
        <v>0</v>
      </c>
      <c r="F274">
        <v>4.18</v>
      </c>
      <c r="G274">
        <v>0</v>
      </c>
    </row>
    <row r="275" spans="1:7">
      <c r="A275" s="7">
        <v>46218</v>
      </c>
      <c r="B275" s="8">
        <v>1</v>
      </c>
      <c r="D275">
        <v>110</v>
      </c>
      <c r="E275">
        <v>1.84</v>
      </c>
      <c r="F275">
        <v>0</v>
      </c>
      <c r="G275">
        <v>110</v>
      </c>
    </row>
    <row r="276" spans="1:7">
      <c r="A276" s="7">
        <v>46218</v>
      </c>
      <c r="B276" s="8">
        <v>2</v>
      </c>
      <c r="D276">
        <v>110</v>
      </c>
      <c r="E276">
        <v>1.87</v>
      </c>
      <c r="F276">
        <v>1.88</v>
      </c>
      <c r="G276">
        <v>0</v>
      </c>
    </row>
    <row r="277" spans="1:7">
      <c r="A277" s="7">
        <v>46218</v>
      </c>
      <c r="B277" s="8">
        <v>3</v>
      </c>
      <c r="D277">
        <v>210</v>
      </c>
      <c r="E277">
        <v>3.67</v>
      </c>
      <c r="F277">
        <v>3.86</v>
      </c>
      <c r="G277">
        <v>0</v>
      </c>
    </row>
    <row r="278" spans="1:7">
      <c r="A278" s="7">
        <v>46218</v>
      </c>
      <c r="B278" s="8">
        <v>4</v>
      </c>
      <c r="D278">
        <v>210</v>
      </c>
      <c r="E278">
        <v>0</v>
      </c>
      <c r="F278">
        <v>0.56000000000000005</v>
      </c>
      <c r="G278">
        <v>210</v>
      </c>
    </row>
    <row r="279" spans="1:7">
      <c r="A279" s="7">
        <v>46218</v>
      </c>
      <c r="B279" s="8">
        <v>5</v>
      </c>
      <c r="D279">
        <v>210</v>
      </c>
      <c r="E279">
        <v>3.81</v>
      </c>
      <c r="F279">
        <v>4.16</v>
      </c>
      <c r="G279">
        <v>0</v>
      </c>
    </row>
    <row r="280" spans="1:7">
      <c r="A280" s="7">
        <v>46218</v>
      </c>
      <c r="B280" s="8">
        <v>6</v>
      </c>
      <c r="D280">
        <v>195</v>
      </c>
      <c r="E280">
        <v>3.84</v>
      </c>
      <c r="F280">
        <v>3.85</v>
      </c>
      <c r="G280">
        <v>0</v>
      </c>
    </row>
    <row r="281" spans="1:7">
      <c r="A281" s="7">
        <v>46218</v>
      </c>
      <c r="B281" s="8">
        <v>7</v>
      </c>
      <c r="D281">
        <v>195</v>
      </c>
      <c r="E281">
        <v>0</v>
      </c>
      <c r="F281">
        <v>3.27</v>
      </c>
      <c r="G281">
        <v>195</v>
      </c>
    </row>
    <row r="282" spans="1:7">
      <c r="A282" s="7">
        <v>46219</v>
      </c>
      <c r="B282" s="8">
        <v>1</v>
      </c>
      <c r="D282">
        <v>110</v>
      </c>
      <c r="E282">
        <v>1.84</v>
      </c>
      <c r="F282">
        <v>0</v>
      </c>
      <c r="G282">
        <v>110</v>
      </c>
    </row>
    <row r="283" spans="1:7">
      <c r="A283" s="7">
        <v>46219</v>
      </c>
      <c r="B283" s="8">
        <v>2</v>
      </c>
      <c r="D283">
        <v>110</v>
      </c>
      <c r="E283">
        <v>1.87</v>
      </c>
      <c r="F283">
        <v>1.93</v>
      </c>
      <c r="G283">
        <v>0</v>
      </c>
    </row>
    <row r="284" spans="1:7">
      <c r="A284" s="7">
        <v>46219</v>
      </c>
      <c r="B284" s="8">
        <v>3</v>
      </c>
      <c r="D284">
        <v>210</v>
      </c>
      <c r="E284">
        <v>0</v>
      </c>
      <c r="F284">
        <v>4</v>
      </c>
      <c r="G284">
        <v>0</v>
      </c>
    </row>
    <row r="285" spans="1:7">
      <c r="A285" s="7">
        <v>46219</v>
      </c>
      <c r="B285" s="8">
        <v>4</v>
      </c>
      <c r="D285">
        <v>210</v>
      </c>
      <c r="E285">
        <v>0</v>
      </c>
      <c r="F285">
        <v>0.25</v>
      </c>
      <c r="G285">
        <v>210</v>
      </c>
    </row>
    <row r="286" spans="1:7">
      <c r="A286" s="7">
        <v>46219</v>
      </c>
      <c r="B286" s="8">
        <v>5</v>
      </c>
      <c r="D286">
        <v>210</v>
      </c>
      <c r="E286">
        <v>3.81</v>
      </c>
      <c r="F286">
        <v>4.41</v>
      </c>
      <c r="G286">
        <v>0</v>
      </c>
    </row>
    <row r="287" spans="1:7">
      <c r="A287" s="7">
        <v>46219</v>
      </c>
      <c r="B287" s="8">
        <v>6</v>
      </c>
      <c r="D287">
        <v>195</v>
      </c>
      <c r="E287">
        <v>3.84</v>
      </c>
      <c r="F287">
        <v>3.84</v>
      </c>
      <c r="G287">
        <v>0</v>
      </c>
    </row>
    <row r="288" spans="1:7">
      <c r="A288" s="7">
        <v>46219</v>
      </c>
      <c r="B288" s="8">
        <v>7</v>
      </c>
      <c r="D288">
        <v>195</v>
      </c>
      <c r="E288">
        <v>0</v>
      </c>
      <c r="F288">
        <v>0</v>
      </c>
      <c r="G288">
        <v>195</v>
      </c>
    </row>
    <row r="289" spans="1:7">
      <c r="A289" s="7">
        <v>46220</v>
      </c>
      <c r="B289" s="8">
        <v>1</v>
      </c>
      <c r="D289">
        <v>110</v>
      </c>
      <c r="E289">
        <v>1.84</v>
      </c>
      <c r="F289">
        <v>0</v>
      </c>
      <c r="G289">
        <v>110</v>
      </c>
    </row>
    <row r="290" spans="1:7">
      <c r="A290" s="7">
        <v>46220</v>
      </c>
      <c r="B290" s="8">
        <v>2</v>
      </c>
      <c r="D290">
        <v>110</v>
      </c>
      <c r="E290">
        <v>1.87</v>
      </c>
      <c r="F290">
        <v>1.89</v>
      </c>
      <c r="G290">
        <v>0</v>
      </c>
    </row>
    <row r="291" spans="1:7">
      <c r="A291" s="7">
        <v>46220</v>
      </c>
      <c r="B291" s="8">
        <v>3</v>
      </c>
      <c r="D291">
        <v>210</v>
      </c>
      <c r="E291">
        <v>0</v>
      </c>
      <c r="F291">
        <v>3.95</v>
      </c>
      <c r="G291">
        <v>0</v>
      </c>
    </row>
    <row r="292" spans="1:7">
      <c r="A292" s="7">
        <v>46220</v>
      </c>
      <c r="B292" s="8">
        <v>4</v>
      </c>
      <c r="D292">
        <v>210</v>
      </c>
      <c r="E292">
        <v>0</v>
      </c>
      <c r="F292">
        <v>0.13</v>
      </c>
      <c r="G292">
        <v>210</v>
      </c>
    </row>
    <row r="293" spans="1:7">
      <c r="A293" s="7">
        <v>46220</v>
      </c>
      <c r="B293" s="8">
        <v>5</v>
      </c>
      <c r="D293">
        <v>210</v>
      </c>
      <c r="E293">
        <v>3.81</v>
      </c>
      <c r="F293">
        <v>4.13</v>
      </c>
      <c r="G293">
        <v>0</v>
      </c>
    </row>
    <row r="294" spans="1:7">
      <c r="A294" s="7">
        <v>46220</v>
      </c>
      <c r="B294" s="8">
        <v>6</v>
      </c>
      <c r="D294">
        <v>195</v>
      </c>
      <c r="E294">
        <v>3.84</v>
      </c>
      <c r="F294">
        <v>4.01</v>
      </c>
      <c r="G294">
        <v>0</v>
      </c>
    </row>
    <row r="295" spans="1:7">
      <c r="A295" s="7">
        <v>46220</v>
      </c>
      <c r="B295" s="8">
        <v>7</v>
      </c>
      <c r="D295">
        <v>195</v>
      </c>
      <c r="E295">
        <v>0</v>
      </c>
      <c r="F295">
        <v>0.75</v>
      </c>
      <c r="G295">
        <v>195</v>
      </c>
    </row>
    <row r="296" spans="1:7">
      <c r="A296" s="7">
        <v>46221</v>
      </c>
      <c r="B296" s="8">
        <v>1</v>
      </c>
      <c r="D296">
        <v>110</v>
      </c>
      <c r="E296">
        <v>1.84</v>
      </c>
      <c r="F296">
        <v>0</v>
      </c>
      <c r="G296">
        <v>110</v>
      </c>
    </row>
    <row r="297" spans="1:7">
      <c r="A297" s="7">
        <v>46221</v>
      </c>
      <c r="B297" s="8">
        <v>2</v>
      </c>
      <c r="D297">
        <v>110</v>
      </c>
      <c r="E297">
        <v>1.87</v>
      </c>
      <c r="F297">
        <v>1.84</v>
      </c>
      <c r="G297">
        <v>0</v>
      </c>
    </row>
    <row r="298" spans="1:7">
      <c r="A298" s="7">
        <v>46221</v>
      </c>
      <c r="B298" s="8">
        <v>3</v>
      </c>
      <c r="D298">
        <v>210</v>
      </c>
      <c r="E298">
        <v>0</v>
      </c>
      <c r="F298">
        <v>3.84</v>
      </c>
      <c r="G298">
        <v>0</v>
      </c>
    </row>
    <row r="299" spans="1:7">
      <c r="A299" s="7">
        <v>46221</v>
      </c>
      <c r="B299" s="8">
        <v>4</v>
      </c>
      <c r="D299">
        <v>210</v>
      </c>
      <c r="E299">
        <v>0</v>
      </c>
      <c r="F299">
        <v>0.16</v>
      </c>
      <c r="G299">
        <v>210</v>
      </c>
    </row>
    <row r="300" spans="1:7">
      <c r="A300" s="7">
        <v>46221</v>
      </c>
      <c r="B300" s="8">
        <v>5</v>
      </c>
      <c r="D300">
        <v>210</v>
      </c>
      <c r="E300">
        <v>3.81</v>
      </c>
      <c r="F300">
        <v>4.26</v>
      </c>
      <c r="G300">
        <v>0</v>
      </c>
    </row>
    <row r="301" spans="1:7">
      <c r="A301" s="7">
        <v>46221</v>
      </c>
      <c r="B301" s="8">
        <v>6</v>
      </c>
      <c r="D301">
        <v>195</v>
      </c>
      <c r="E301">
        <v>3.84</v>
      </c>
      <c r="F301">
        <v>4</v>
      </c>
      <c r="G301">
        <v>0</v>
      </c>
    </row>
    <row r="302" spans="1:7">
      <c r="A302" s="7">
        <v>46221</v>
      </c>
      <c r="B302" s="8">
        <v>7</v>
      </c>
      <c r="D302">
        <v>195</v>
      </c>
      <c r="E302">
        <v>0</v>
      </c>
      <c r="F302">
        <v>4.4400000000000004</v>
      </c>
      <c r="G302">
        <v>0</v>
      </c>
    </row>
    <row r="303" spans="1:7">
      <c r="A303" s="7">
        <v>46222</v>
      </c>
      <c r="B303" s="8">
        <v>1</v>
      </c>
      <c r="D303">
        <v>110</v>
      </c>
      <c r="E303">
        <v>1.84</v>
      </c>
      <c r="F303">
        <v>0</v>
      </c>
      <c r="G303">
        <v>110</v>
      </c>
    </row>
    <row r="304" spans="1:7">
      <c r="A304" s="7">
        <v>46222</v>
      </c>
      <c r="B304" s="8">
        <v>2</v>
      </c>
      <c r="D304">
        <v>110</v>
      </c>
      <c r="E304">
        <v>1.87</v>
      </c>
      <c r="F304">
        <v>1.79</v>
      </c>
      <c r="G304">
        <v>0</v>
      </c>
    </row>
    <row r="305" spans="1:7">
      <c r="A305" s="7">
        <v>46222</v>
      </c>
      <c r="B305" s="8">
        <v>3</v>
      </c>
      <c r="D305">
        <v>210</v>
      </c>
      <c r="E305">
        <v>0</v>
      </c>
      <c r="F305">
        <v>3.86</v>
      </c>
      <c r="G305">
        <v>0</v>
      </c>
    </row>
    <row r="306" spans="1:7">
      <c r="A306" s="7">
        <v>46222</v>
      </c>
      <c r="B306" s="8">
        <v>4</v>
      </c>
      <c r="D306">
        <v>210</v>
      </c>
      <c r="E306">
        <v>0</v>
      </c>
      <c r="F306">
        <v>0.06</v>
      </c>
      <c r="G306">
        <v>210</v>
      </c>
    </row>
    <row r="307" spans="1:7">
      <c r="A307" s="7">
        <v>46222</v>
      </c>
      <c r="B307" s="8">
        <v>5</v>
      </c>
      <c r="D307">
        <v>210</v>
      </c>
      <c r="E307">
        <v>3.81</v>
      </c>
      <c r="F307">
        <v>4.2</v>
      </c>
      <c r="G307">
        <v>0</v>
      </c>
    </row>
    <row r="308" spans="1:7">
      <c r="A308" s="7">
        <v>46222</v>
      </c>
      <c r="B308" s="8">
        <v>6</v>
      </c>
      <c r="D308">
        <v>195</v>
      </c>
      <c r="E308">
        <v>3.84</v>
      </c>
      <c r="F308">
        <v>3.96</v>
      </c>
      <c r="G308">
        <v>0</v>
      </c>
    </row>
    <row r="309" spans="1:7">
      <c r="A309" s="7">
        <v>46222</v>
      </c>
      <c r="B309" s="8">
        <v>7</v>
      </c>
      <c r="D309">
        <v>195</v>
      </c>
      <c r="E309">
        <v>0</v>
      </c>
      <c r="F309">
        <v>4.33</v>
      </c>
      <c r="G309">
        <v>0</v>
      </c>
    </row>
    <row r="310" spans="1:7">
      <c r="A310" s="7">
        <v>46223</v>
      </c>
      <c r="B310" s="8">
        <v>1</v>
      </c>
      <c r="D310">
        <v>110</v>
      </c>
      <c r="E310">
        <v>1.84</v>
      </c>
      <c r="F310">
        <v>0</v>
      </c>
      <c r="G310">
        <v>110</v>
      </c>
    </row>
    <row r="311" spans="1:7">
      <c r="A311" s="7">
        <v>46223</v>
      </c>
      <c r="B311" s="8">
        <v>2</v>
      </c>
      <c r="D311">
        <v>110</v>
      </c>
      <c r="E311">
        <v>1.87</v>
      </c>
      <c r="F311">
        <v>1.83</v>
      </c>
      <c r="G311">
        <v>0</v>
      </c>
    </row>
    <row r="312" spans="1:7">
      <c r="A312" s="7">
        <v>46223</v>
      </c>
      <c r="B312" s="8">
        <v>3</v>
      </c>
      <c r="D312">
        <v>210</v>
      </c>
      <c r="E312">
        <v>0</v>
      </c>
      <c r="F312">
        <v>3.83</v>
      </c>
      <c r="G312">
        <v>0</v>
      </c>
    </row>
    <row r="313" spans="1:7">
      <c r="A313" s="7">
        <v>46223</v>
      </c>
      <c r="B313" s="8">
        <v>4</v>
      </c>
      <c r="D313">
        <v>210</v>
      </c>
      <c r="E313">
        <v>0</v>
      </c>
      <c r="F313">
        <v>0.08</v>
      </c>
      <c r="G313">
        <v>210</v>
      </c>
    </row>
    <row r="314" spans="1:7">
      <c r="A314" s="7">
        <v>46223</v>
      </c>
      <c r="B314" s="8">
        <v>5</v>
      </c>
      <c r="D314">
        <v>210</v>
      </c>
      <c r="E314">
        <v>3.81</v>
      </c>
      <c r="F314">
        <v>4.17</v>
      </c>
      <c r="G314">
        <v>0</v>
      </c>
    </row>
    <row r="315" spans="1:7">
      <c r="A315" s="7">
        <v>46223</v>
      </c>
      <c r="B315" s="8">
        <v>6</v>
      </c>
      <c r="D315">
        <v>195</v>
      </c>
      <c r="E315">
        <v>3.84</v>
      </c>
      <c r="F315">
        <v>3.98</v>
      </c>
      <c r="G315">
        <v>0</v>
      </c>
    </row>
    <row r="316" spans="1:7">
      <c r="A316" s="7">
        <v>46223</v>
      </c>
      <c r="B316" s="8">
        <v>7</v>
      </c>
      <c r="D316">
        <v>195</v>
      </c>
      <c r="E316">
        <v>0</v>
      </c>
      <c r="F316">
        <v>4.3499999999999996</v>
      </c>
      <c r="G3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/>
  </sheetViews>
  <sheetFormatPr defaultRowHeight="13.8"/>
  <cols>
    <col min="1" max="1" width="9.69921875" customWidth="1"/>
    <col min="2" max="2" width="14.3984375" customWidth="1"/>
    <col min="3" max="3" width="13.8984375" customWidth="1"/>
    <col min="4" max="4" width="12.19921875" customWidth="1"/>
    <col min="5" max="5" width="14" customWidth="1"/>
    <col min="6" max="6" width="22.8984375" customWidth="1"/>
    <col min="7" max="7" width="16.09765625" customWidth="1"/>
    <col min="8" max="8" width="20.19921875" customWidth="1"/>
    <col min="9" max="9" width="36" customWidth="1"/>
  </cols>
  <sheetData>
    <row r="1" spans="1:9" ht="25.65" customHeight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16</v>
      </c>
      <c r="G1" s="1" t="s">
        <v>10</v>
      </c>
      <c r="H1" s="1" t="s">
        <v>78</v>
      </c>
      <c r="I1" s="1" t="s">
        <v>14</v>
      </c>
    </row>
    <row r="2" spans="1:9">
      <c r="A2" s="2">
        <v>46179</v>
      </c>
      <c r="B2" s="4">
        <v>1240</v>
      </c>
      <c r="C2" s="4">
        <v>23.96</v>
      </c>
      <c r="D2" s="4">
        <v>22.22</v>
      </c>
      <c r="E2" s="4">
        <f t="shared" ref="E2:E46" si="0">IF(OR(C2="",D2=""),"",D2-C2)</f>
        <v>-1.740000000000002</v>
      </c>
      <c r="F2" s="6">
        <f t="shared" ref="F2:F46" si="1">IF(OR(C2="",C2=0,D2=""),"",D2/C2)</f>
        <v>0.92737896494156924</v>
      </c>
      <c r="G2" s="4">
        <v>15</v>
      </c>
      <c r="H2" s="4">
        <v>0</v>
      </c>
      <c r="I2" s="3"/>
    </row>
    <row r="3" spans="1:9">
      <c r="A3" s="2">
        <v>46180</v>
      </c>
      <c r="B3" s="4">
        <v>1240</v>
      </c>
      <c r="C3" s="4">
        <v>23.96</v>
      </c>
      <c r="D3" s="4">
        <v>21.88</v>
      </c>
      <c r="E3" s="4">
        <f t="shared" si="0"/>
        <v>-2.0800000000000018</v>
      </c>
      <c r="F3" s="6">
        <f t="shared" si="1"/>
        <v>0.91318864774624364</v>
      </c>
      <c r="G3" s="4">
        <v>14</v>
      </c>
      <c r="H3" s="4">
        <v>0</v>
      </c>
      <c r="I3" s="3"/>
    </row>
    <row r="4" spans="1:9">
      <c r="A4" s="2">
        <v>46181</v>
      </c>
      <c r="B4" s="4">
        <v>1240</v>
      </c>
      <c r="C4" s="4">
        <v>23.96</v>
      </c>
      <c r="D4" s="4">
        <v>21.949999999999996</v>
      </c>
      <c r="E4" s="4">
        <f t="shared" si="0"/>
        <v>-2.0100000000000051</v>
      </c>
      <c r="F4" s="6">
        <f t="shared" si="1"/>
        <v>0.91611018363939878</v>
      </c>
      <c r="G4" s="4">
        <v>14</v>
      </c>
      <c r="H4" s="4">
        <v>0</v>
      </c>
      <c r="I4" s="3"/>
    </row>
    <row r="5" spans="1:9">
      <c r="A5" s="2">
        <v>46182</v>
      </c>
      <c r="B5" s="4">
        <v>1240</v>
      </c>
      <c r="C5" s="4">
        <v>23.96</v>
      </c>
      <c r="D5" s="4">
        <v>22.45</v>
      </c>
      <c r="E5" s="4">
        <f t="shared" si="0"/>
        <v>-1.5100000000000016</v>
      </c>
      <c r="F5" s="6">
        <f t="shared" si="1"/>
        <v>0.93697829716193648</v>
      </c>
      <c r="G5" s="4">
        <v>14</v>
      </c>
      <c r="H5" s="4">
        <v>0</v>
      </c>
      <c r="I5" s="3"/>
    </row>
    <row r="6" spans="1:9">
      <c r="A6" s="2">
        <v>46183</v>
      </c>
      <c r="B6" s="4">
        <v>1240</v>
      </c>
      <c r="C6" s="4">
        <v>23.96</v>
      </c>
      <c r="D6" s="4">
        <v>22.6</v>
      </c>
      <c r="E6" s="4">
        <f t="shared" si="0"/>
        <v>-1.3599999999999994</v>
      </c>
      <c r="F6" s="6">
        <f t="shared" si="1"/>
        <v>0.94323873121869783</v>
      </c>
      <c r="G6" s="4">
        <v>14</v>
      </c>
      <c r="H6" s="4">
        <v>0</v>
      </c>
      <c r="I6" s="3"/>
    </row>
    <row r="7" spans="1:9">
      <c r="A7" s="2">
        <v>46184</v>
      </c>
      <c r="B7" s="4">
        <v>1240</v>
      </c>
      <c r="C7" s="4">
        <v>23.96</v>
      </c>
      <c r="D7" s="4">
        <v>22.279999999999998</v>
      </c>
      <c r="E7" s="4">
        <f t="shared" si="0"/>
        <v>-1.6800000000000033</v>
      </c>
      <c r="F7" s="6">
        <f t="shared" si="1"/>
        <v>0.92988313856427363</v>
      </c>
      <c r="G7" s="4">
        <v>14</v>
      </c>
      <c r="H7" s="4">
        <v>0</v>
      </c>
      <c r="I7" s="3"/>
    </row>
    <row r="8" spans="1:9">
      <c r="A8" s="2">
        <v>46185</v>
      </c>
      <c r="B8" s="4">
        <v>1240</v>
      </c>
      <c r="C8" s="4">
        <v>23.96</v>
      </c>
      <c r="D8" s="4">
        <v>21.58</v>
      </c>
      <c r="E8" s="4">
        <f t="shared" si="0"/>
        <v>-2.3800000000000026</v>
      </c>
      <c r="F8" s="6">
        <f t="shared" si="1"/>
        <v>0.90066777963272104</v>
      </c>
      <c r="G8" s="4">
        <v>14</v>
      </c>
      <c r="H8" s="4">
        <v>0</v>
      </c>
      <c r="I8" s="3"/>
    </row>
    <row r="9" spans="1:9">
      <c r="A9" s="2">
        <v>46186</v>
      </c>
      <c r="B9" s="4">
        <v>1240</v>
      </c>
      <c r="C9" s="4">
        <v>23.96</v>
      </c>
      <c r="D9" s="4">
        <v>21.74</v>
      </c>
      <c r="E9" s="4">
        <f t="shared" si="0"/>
        <v>-2.2200000000000024</v>
      </c>
      <c r="F9" s="6">
        <f t="shared" si="1"/>
        <v>0.90734557595993315</v>
      </c>
      <c r="G9" s="4">
        <v>14</v>
      </c>
      <c r="H9" s="4">
        <v>0</v>
      </c>
      <c r="I9" s="3"/>
    </row>
    <row r="10" spans="1:9">
      <c r="A10" s="2">
        <v>46187</v>
      </c>
      <c r="B10" s="4">
        <v>1240</v>
      </c>
      <c r="C10" s="4">
        <v>23.96</v>
      </c>
      <c r="D10" s="4">
        <v>21.02</v>
      </c>
      <c r="E10" s="4">
        <f t="shared" si="0"/>
        <v>-2.9400000000000013</v>
      </c>
      <c r="F10" s="6">
        <f t="shared" si="1"/>
        <v>0.87729549248747907</v>
      </c>
      <c r="G10" s="4">
        <v>13</v>
      </c>
      <c r="H10" s="4">
        <v>0</v>
      </c>
      <c r="I10" s="3"/>
    </row>
    <row r="11" spans="1:9">
      <c r="A11" s="2">
        <v>46188</v>
      </c>
      <c r="B11" s="4">
        <v>1240</v>
      </c>
      <c r="C11" s="4">
        <v>19.96</v>
      </c>
      <c r="D11" s="4">
        <v>21.3</v>
      </c>
      <c r="E11" s="4">
        <f t="shared" si="0"/>
        <v>1.3399999999999999</v>
      </c>
      <c r="F11" s="6">
        <f t="shared" si="1"/>
        <v>1.0671342685370742</v>
      </c>
      <c r="G11" s="4">
        <v>13</v>
      </c>
      <c r="H11" s="4">
        <v>0</v>
      </c>
      <c r="I11" s="3"/>
    </row>
    <row r="12" spans="1:9">
      <c r="A12" s="2">
        <v>46189</v>
      </c>
      <c r="B12" s="4">
        <v>1240</v>
      </c>
      <c r="C12" s="4">
        <v>19.96</v>
      </c>
      <c r="D12" s="4">
        <v>22.490000000000002</v>
      </c>
      <c r="E12" s="4">
        <f t="shared" si="0"/>
        <v>2.5300000000000011</v>
      </c>
      <c r="F12" s="6">
        <f t="shared" si="1"/>
        <v>1.1267535070140282</v>
      </c>
      <c r="G12" s="4">
        <v>13</v>
      </c>
      <c r="H12" s="4">
        <v>0</v>
      </c>
      <c r="I12" s="3"/>
    </row>
    <row r="13" spans="1:9">
      <c r="A13" s="2">
        <v>46190</v>
      </c>
      <c r="B13" s="4">
        <v>1240</v>
      </c>
      <c r="C13" s="4">
        <v>19.96</v>
      </c>
      <c r="D13" s="4">
        <v>22.35</v>
      </c>
      <c r="E13" s="4">
        <f t="shared" si="0"/>
        <v>2.3900000000000006</v>
      </c>
      <c r="F13" s="6">
        <f t="shared" si="1"/>
        <v>1.1197394789579158</v>
      </c>
      <c r="G13" s="4">
        <v>13</v>
      </c>
      <c r="H13" s="4">
        <v>0</v>
      </c>
      <c r="I13" s="3"/>
    </row>
    <row r="14" spans="1:9">
      <c r="A14" s="2">
        <v>46191</v>
      </c>
      <c r="B14" s="4">
        <v>1240</v>
      </c>
      <c r="C14" s="4">
        <v>19.96</v>
      </c>
      <c r="D14" s="4">
        <v>23.1</v>
      </c>
      <c r="E14" s="4">
        <f t="shared" si="0"/>
        <v>3.1400000000000006</v>
      </c>
      <c r="F14" s="6">
        <f t="shared" si="1"/>
        <v>1.157314629258517</v>
      </c>
      <c r="G14" s="4">
        <v>13</v>
      </c>
      <c r="H14" s="4">
        <v>0</v>
      </c>
      <c r="I14" s="3"/>
    </row>
    <row r="15" spans="1:9">
      <c r="A15" s="2">
        <v>46192</v>
      </c>
      <c r="B15" s="4">
        <v>1240</v>
      </c>
      <c r="C15" s="4">
        <v>19.96</v>
      </c>
      <c r="D15" s="4">
        <v>23.03</v>
      </c>
      <c r="E15" s="4">
        <f t="shared" si="0"/>
        <v>3.0700000000000003</v>
      </c>
      <c r="F15" s="6">
        <f t="shared" si="1"/>
        <v>1.1538076152304608</v>
      </c>
      <c r="G15" s="4">
        <v>13</v>
      </c>
      <c r="H15" s="4">
        <v>0</v>
      </c>
      <c r="I15" s="3"/>
    </row>
    <row r="16" spans="1:9">
      <c r="A16" s="2">
        <v>46193</v>
      </c>
      <c r="B16" s="4">
        <v>1240</v>
      </c>
      <c r="C16" s="4">
        <v>19.96</v>
      </c>
      <c r="D16" s="4">
        <v>23.610000000000003</v>
      </c>
      <c r="E16" s="4">
        <f t="shared" si="0"/>
        <v>3.6500000000000021</v>
      </c>
      <c r="F16" s="6">
        <f t="shared" si="1"/>
        <v>1.1828657314629258</v>
      </c>
      <c r="G16" s="4">
        <v>12</v>
      </c>
      <c r="H16" s="4">
        <v>0</v>
      </c>
      <c r="I16" s="3"/>
    </row>
    <row r="17" spans="1:9">
      <c r="A17" s="2">
        <v>46194</v>
      </c>
      <c r="B17" s="4">
        <v>1240</v>
      </c>
      <c r="C17" s="4">
        <v>19.96</v>
      </c>
      <c r="D17" s="4">
        <v>21.8</v>
      </c>
      <c r="E17" s="4">
        <f t="shared" si="0"/>
        <v>1.8399999999999999</v>
      </c>
      <c r="F17" s="6">
        <f t="shared" si="1"/>
        <v>1.092184368737475</v>
      </c>
      <c r="G17" s="4">
        <v>13</v>
      </c>
      <c r="H17" s="4">
        <v>0</v>
      </c>
      <c r="I17" s="3"/>
    </row>
    <row r="18" spans="1:9">
      <c r="A18" s="2">
        <v>46195</v>
      </c>
      <c r="B18" s="4">
        <v>1240</v>
      </c>
      <c r="C18" s="4">
        <v>19.96</v>
      </c>
      <c r="D18" s="4">
        <v>21.79</v>
      </c>
      <c r="E18" s="4">
        <f t="shared" si="0"/>
        <v>1.8299999999999983</v>
      </c>
      <c r="F18" s="6">
        <f t="shared" si="1"/>
        <v>1.0916833667334669</v>
      </c>
      <c r="G18" s="4">
        <v>12</v>
      </c>
      <c r="H18" s="4">
        <v>0</v>
      </c>
      <c r="I18" s="3"/>
    </row>
    <row r="19" spans="1:9">
      <c r="A19" s="2">
        <v>46196</v>
      </c>
      <c r="B19" s="4">
        <v>1240</v>
      </c>
      <c r="C19" s="4">
        <v>19.96</v>
      </c>
      <c r="D19" s="4">
        <v>22.3</v>
      </c>
      <c r="E19" s="4">
        <f t="shared" si="0"/>
        <v>2.34</v>
      </c>
      <c r="F19" s="6">
        <f t="shared" si="1"/>
        <v>1.1172344689378757</v>
      </c>
      <c r="G19" s="4">
        <v>12</v>
      </c>
      <c r="H19" s="4">
        <v>0</v>
      </c>
      <c r="I19" s="3"/>
    </row>
    <row r="20" spans="1:9">
      <c r="A20" s="2">
        <v>46197</v>
      </c>
      <c r="B20" s="4">
        <v>1240</v>
      </c>
      <c r="C20" s="4">
        <v>19.96</v>
      </c>
      <c r="D20" s="4">
        <v>22.02</v>
      </c>
      <c r="E20" s="4">
        <f t="shared" si="0"/>
        <v>2.0599999999999987</v>
      </c>
      <c r="F20" s="6">
        <f t="shared" si="1"/>
        <v>1.1032064128256511</v>
      </c>
      <c r="G20" s="4">
        <v>11</v>
      </c>
      <c r="H20" s="4">
        <v>0</v>
      </c>
      <c r="I20" s="3"/>
    </row>
    <row r="21" spans="1:9">
      <c r="A21" s="2">
        <v>46198</v>
      </c>
      <c r="B21" s="4">
        <v>1240</v>
      </c>
      <c r="C21" s="4">
        <v>19.96</v>
      </c>
      <c r="D21" s="4">
        <v>22.35</v>
      </c>
      <c r="E21" s="4">
        <f t="shared" si="0"/>
        <v>2.3900000000000006</v>
      </c>
      <c r="F21" s="6">
        <f t="shared" si="1"/>
        <v>1.1197394789579158</v>
      </c>
      <c r="G21" s="4">
        <v>11</v>
      </c>
      <c r="H21" s="4">
        <v>0</v>
      </c>
      <c r="I21" s="3"/>
    </row>
    <row r="22" spans="1:9">
      <c r="A22" s="2">
        <v>46199</v>
      </c>
      <c r="B22" s="4">
        <v>1240</v>
      </c>
      <c r="C22" s="4">
        <v>19.96</v>
      </c>
      <c r="D22" s="4">
        <v>22.97</v>
      </c>
      <c r="E22" s="4">
        <f t="shared" si="0"/>
        <v>3.009999999999998</v>
      </c>
      <c r="F22" s="6">
        <f t="shared" si="1"/>
        <v>1.1508016032064128</v>
      </c>
      <c r="G22" s="4">
        <v>10</v>
      </c>
      <c r="H22" s="4">
        <v>0</v>
      </c>
      <c r="I22" s="3"/>
    </row>
    <row r="23" spans="1:9">
      <c r="A23" s="2">
        <v>46200</v>
      </c>
      <c r="B23" s="4">
        <v>1240</v>
      </c>
      <c r="C23" s="4">
        <v>19.96</v>
      </c>
      <c r="D23" s="4">
        <v>23.480000000000004</v>
      </c>
      <c r="E23" s="4">
        <f t="shared" si="0"/>
        <v>3.5200000000000031</v>
      </c>
      <c r="F23" s="6">
        <f t="shared" si="1"/>
        <v>1.1763527054108218</v>
      </c>
      <c r="G23" s="4">
        <v>10</v>
      </c>
      <c r="H23" s="4">
        <v>0</v>
      </c>
      <c r="I23" s="3"/>
    </row>
    <row r="24" spans="1:9">
      <c r="A24" s="2">
        <v>46201</v>
      </c>
      <c r="B24" s="4">
        <v>1240</v>
      </c>
      <c r="C24" s="4">
        <v>19.96</v>
      </c>
      <c r="D24" s="4">
        <v>23.29</v>
      </c>
      <c r="E24" s="4">
        <f t="shared" si="0"/>
        <v>3.3299999999999983</v>
      </c>
      <c r="F24" s="6">
        <f t="shared" si="1"/>
        <v>1.1668336673346693</v>
      </c>
      <c r="G24" s="4">
        <v>9</v>
      </c>
      <c r="H24" s="4">
        <v>0</v>
      </c>
      <c r="I24" s="3"/>
    </row>
    <row r="25" spans="1:9">
      <c r="A25" s="2">
        <v>46202</v>
      </c>
      <c r="B25" s="4">
        <v>1240</v>
      </c>
      <c r="C25" s="4">
        <v>19.96</v>
      </c>
      <c r="D25" s="4">
        <v>23.300000000000004</v>
      </c>
      <c r="E25" s="4">
        <f t="shared" si="0"/>
        <v>3.3400000000000034</v>
      </c>
      <c r="F25" s="6">
        <f t="shared" si="1"/>
        <v>1.1673346693386775</v>
      </c>
      <c r="G25" s="4">
        <v>9</v>
      </c>
      <c r="H25" s="4">
        <v>0</v>
      </c>
      <c r="I25" s="3"/>
    </row>
    <row r="26" spans="1:9">
      <c r="A26" s="2">
        <v>46203</v>
      </c>
      <c r="B26" s="4">
        <v>1240</v>
      </c>
      <c r="C26" s="4">
        <v>19.96</v>
      </c>
      <c r="D26" s="4">
        <v>22.05</v>
      </c>
      <c r="E26" s="4">
        <f t="shared" si="0"/>
        <v>2.09</v>
      </c>
      <c r="F26" s="6">
        <f t="shared" si="1"/>
        <v>1.1047094188376754</v>
      </c>
      <c r="G26" s="4">
        <v>9</v>
      </c>
      <c r="H26" s="4">
        <v>195</v>
      </c>
      <c r="I26" s="3"/>
    </row>
    <row r="27" spans="1:9">
      <c r="A27" s="2">
        <v>46204</v>
      </c>
      <c r="B27" s="4">
        <v>1240</v>
      </c>
      <c r="C27" s="4">
        <v>15.03</v>
      </c>
      <c r="D27" s="4">
        <v>22.099999999999998</v>
      </c>
      <c r="E27" s="4">
        <f t="shared" si="0"/>
        <v>7.0699999999999985</v>
      </c>
      <c r="F27" s="6">
        <f t="shared" si="1"/>
        <v>1.4703925482368596</v>
      </c>
      <c r="G27" s="4">
        <v>9</v>
      </c>
      <c r="H27" s="4">
        <v>195</v>
      </c>
      <c r="I27" s="3"/>
    </row>
    <row r="28" spans="1:9">
      <c r="A28" s="2">
        <v>46205</v>
      </c>
      <c r="B28" s="4">
        <v>1240</v>
      </c>
      <c r="C28" s="4">
        <v>15.03</v>
      </c>
      <c r="D28" s="4">
        <v>22.87</v>
      </c>
      <c r="E28" s="4">
        <f t="shared" si="0"/>
        <v>7.8400000000000016</v>
      </c>
      <c r="F28" s="6">
        <f t="shared" si="1"/>
        <v>1.5216234198270129</v>
      </c>
      <c r="G28" s="4">
        <v>9</v>
      </c>
      <c r="H28" s="4">
        <v>0</v>
      </c>
      <c r="I28" s="3"/>
    </row>
    <row r="29" spans="1:9">
      <c r="A29" s="2">
        <v>46206</v>
      </c>
      <c r="B29" s="4">
        <v>1240</v>
      </c>
      <c r="C29" s="4">
        <v>15.03</v>
      </c>
      <c r="D29" s="4">
        <v>21.56</v>
      </c>
      <c r="E29" s="4">
        <f t="shared" si="0"/>
        <v>6.5299999999999994</v>
      </c>
      <c r="F29" s="6">
        <f t="shared" si="1"/>
        <v>1.4344644045242847</v>
      </c>
      <c r="G29" s="4">
        <v>9</v>
      </c>
      <c r="H29" s="4">
        <v>0</v>
      </c>
      <c r="I29" s="3"/>
    </row>
    <row r="30" spans="1:9">
      <c r="A30" s="2">
        <v>46207</v>
      </c>
      <c r="B30" s="4">
        <v>1240</v>
      </c>
      <c r="C30" s="4">
        <v>15.03</v>
      </c>
      <c r="D30" s="4">
        <v>21.81</v>
      </c>
      <c r="E30" s="4">
        <f t="shared" si="0"/>
        <v>6.7799999999999994</v>
      </c>
      <c r="F30" s="6">
        <f t="shared" si="1"/>
        <v>1.4510978043912175</v>
      </c>
      <c r="G30" s="4">
        <v>9</v>
      </c>
      <c r="H30" s="4">
        <v>0</v>
      </c>
      <c r="I30" s="3"/>
    </row>
    <row r="31" spans="1:9">
      <c r="A31" s="2">
        <v>46208</v>
      </c>
      <c r="B31" s="4">
        <v>1240</v>
      </c>
      <c r="C31" s="4">
        <v>15.03</v>
      </c>
      <c r="D31" s="4">
        <v>18.11</v>
      </c>
      <c r="E31" s="4">
        <f t="shared" si="0"/>
        <v>3.08</v>
      </c>
      <c r="F31" s="6">
        <f t="shared" si="1"/>
        <v>1.2049234863606122</v>
      </c>
      <c r="G31" s="4">
        <v>9</v>
      </c>
      <c r="H31" s="4">
        <v>210</v>
      </c>
      <c r="I31" s="3"/>
    </row>
    <row r="32" spans="1:9">
      <c r="A32" s="2">
        <v>46209</v>
      </c>
      <c r="B32" s="4">
        <v>1240</v>
      </c>
      <c r="C32" s="4">
        <v>15.03</v>
      </c>
      <c r="D32" s="4">
        <v>17.919999999999998</v>
      </c>
      <c r="E32" s="4">
        <f t="shared" si="0"/>
        <v>2.8899999999999988</v>
      </c>
      <c r="F32" s="6">
        <f t="shared" si="1"/>
        <v>1.1922821024617432</v>
      </c>
      <c r="G32" s="4">
        <v>9</v>
      </c>
      <c r="H32" s="4">
        <v>210</v>
      </c>
      <c r="I32" s="3"/>
    </row>
    <row r="33" spans="1:9">
      <c r="A33" s="2">
        <v>46210</v>
      </c>
      <c r="B33" s="4">
        <v>1240</v>
      </c>
      <c r="C33" s="4">
        <v>15.03</v>
      </c>
      <c r="D33" s="4">
        <v>18.5</v>
      </c>
      <c r="E33" s="4">
        <f t="shared" si="0"/>
        <v>3.4700000000000006</v>
      </c>
      <c r="F33" s="6">
        <f t="shared" si="1"/>
        <v>1.2308715901530274</v>
      </c>
      <c r="G33" s="4">
        <v>10</v>
      </c>
      <c r="H33" s="4">
        <v>210</v>
      </c>
      <c r="I33" s="3"/>
    </row>
    <row r="34" spans="1:9">
      <c r="A34" s="2">
        <v>46211</v>
      </c>
      <c r="B34" s="4">
        <v>1240</v>
      </c>
      <c r="C34" s="4">
        <v>15.03</v>
      </c>
      <c r="D34" s="4">
        <v>18.16</v>
      </c>
      <c r="E34" s="4">
        <f t="shared" si="0"/>
        <v>3.1300000000000008</v>
      </c>
      <c r="F34" s="6">
        <f t="shared" si="1"/>
        <v>1.2082501663339986</v>
      </c>
      <c r="G34" s="4">
        <v>10</v>
      </c>
      <c r="H34" s="4">
        <v>210</v>
      </c>
      <c r="I34" s="3"/>
    </row>
    <row r="35" spans="1:9">
      <c r="A35" s="2">
        <v>46212</v>
      </c>
      <c r="B35" s="4">
        <v>1240</v>
      </c>
      <c r="C35" s="4">
        <v>15.03</v>
      </c>
      <c r="D35" s="4">
        <v>14.29</v>
      </c>
      <c r="E35" s="4">
        <f t="shared" si="0"/>
        <v>-0.74000000000000021</v>
      </c>
      <c r="F35" s="6">
        <f t="shared" si="1"/>
        <v>0.95076513639387894</v>
      </c>
      <c r="G35" s="4">
        <v>10</v>
      </c>
      <c r="H35" s="4">
        <v>530</v>
      </c>
      <c r="I35" s="3"/>
    </row>
    <row r="36" spans="1:9">
      <c r="A36" s="2">
        <v>46213</v>
      </c>
      <c r="B36" s="4">
        <v>1240</v>
      </c>
      <c r="C36" s="4">
        <v>15.03</v>
      </c>
      <c r="D36" s="4">
        <v>12.899999999999999</v>
      </c>
      <c r="E36" s="4">
        <f t="shared" si="0"/>
        <v>-2.1300000000000008</v>
      </c>
      <c r="F36" s="6">
        <f t="shared" si="1"/>
        <v>0.85828343313373245</v>
      </c>
      <c r="G36" s="4">
        <v>11</v>
      </c>
      <c r="H36" s="4">
        <v>530</v>
      </c>
      <c r="I36" s="3"/>
    </row>
    <row r="37" spans="1:9">
      <c r="A37" s="2">
        <v>46214</v>
      </c>
      <c r="B37" s="4">
        <v>1240</v>
      </c>
      <c r="C37" s="4">
        <v>15.03</v>
      </c>
      <c r="D37" s="4">
        <v>16.43</v>
      </c>
      <c r="E37" s="4">
        <f t="shared" si="0"/>
        <v>1.4000000000000004</v>
      </c>
      <c r="F37" s="6">
        <f t="shared" si="1"/>
        <v>1.0931470392548237</v>
      </c>
      <c r="G37" s="4">
        <v>12</v>
      </c>
      <c r="H37" s="4">
        <v>320</v>
      </c>
      <c r="I37" s="3"/>
    </row>
    <row r="38" spans="1:9">
      <c r="A38" s="2">
        <v>46215</v>
      </c>
      <c r="B38" s="4">
        <v>1240</v>
      </c>
      <c r="C38" s="4">
        <v>15.03</v>
      </c>
      <c r="D38" s="4">
        <v>16.509999999999998</v>
      </c>
      <c r="E38" s="4">
        <f t="shared" si="0"/>
        <v>1.4799999999999986</v>
      </c>
      <c r="F38" s="6">
        <f t="shared" si="1"/>
        <v>1.0984697272122421</v>
      </c>
      <c r="G38" s="4">
        <v>14</v>
      </c>
      <c r="H38" s="4">
        <v>320</v>
      </c>
      <c r="I38" s="3"/>
    </row>
    <row r="39" spans="1:9">
      <c r="A39" s="2">
        <v>46216</v>
      </c>
      <c r="B39" s="4">
        <v>1240</v>
      </c>
      <c r="C39" s="4">
        <v>15.03</v>
      </c>
      <c r="D39" s="4">
        <v>17.419999999999998</v>
      </c>
      <c r="E39" s="4">
        <f t="shared" si="0"/>
        <v>2.3899999999999988</v>
      </c>
      <c r="F39" s="6">
        <f t="shared" si="1"/>
        <v>1.1590153027278776</v>
      </c>
      <c r="G39" s="4">
        <v>15</v>
      </c>
      <c r="H39" s="4">
        <v>320</v>
      </c>
      <c r="I39" s="3"/>
    </row>
    <row r="40" spans="1:9">
      <c r="A40" s="2">
        <v>46217</v>
      </c>
      <c r="B40" s="4">
        <v>1240</v>
      </c>
      <c r="C40" s="4">
        <v>15.03</v>
      </c>
      <c r="D40" s="4">
        <v>17.59</v>
      </c>
      <c r="E40" s="4">
        <f t="shared" si="0"/>
        <v>2.5600000000000005</v>
      </c>
      <c r="F40" s="6">
        <f t="shared" si="1"/>
        <v>1.1703260146373919</v>
      </c>
      <c r="G40" s="4">
        <v>15</v>
      </c>
      <c r="H40" s="4">
        <v>320</v>
      </c>
      <c r="I40" s="3"/>
    </row>
    <row r="41" spans="1:9">
      <c r="A41" s="2">
        <v>46218</v>
      </c>
      <c r="B41" s="4">
        <v>1240</v>
      </c>
      <c r="C41" s="4">
        <v>15.03</v>
      </c>
      <c r="D41" s="4">
        <v>17.580000000000002</v>
      </c>
      <c r="E41" s="4">
        <f t="shared" si="0"/>
        <v>2.5500000000000025</v>
      </c>
      <c r="F41" s="6">
        <f t="shared" si="1"/>
        <v>1.1696606786427148</v>
      </c>
      <c r="G41" s="4">
        <v>16</v>
      </c>
      <c r="H41" s="4">
        <v>515</v>
      </c>
      <c r="I41" s="3"/>
    </row>
    <row r="42" spans="1:9">
      <c r="A42" s="2">
        <v>46219</v>
      </c>
      <c r="B42" s="4">
        <v>1240</v>
      </c>
      <c r="C42" s="4">
        <v>11.36</v>
      </c>
      <c r="D42" s="4">
        <v>14.43</v>
      </c>
      <c r="E42" s="4">
        <f t="shared" si="0"/>
        <v>3.0700000000000003</v>
      </c>
      <c r="F42" s="6">
        <f t="shared" si="1"/>
        <v>1.2702464788732395</v>
      </c>
      <c r="G42" s="4">
        <v>16</v>
      </c>
      <c r="H42" s="4">
        <v>515</v>
      </c>
      <c r="I42" s="3"/>
    </row>
    <row r="43" spans="1:9">
      <c r="A43" s="2">
        <v>46220</v>
      </c>
      <c r="B43" s="4">
        <v>1240</v>
      </c>
      <c r="C43" s="4">
        <v>11.36</v>
      </c>
      <c r="D43" s="4">
        <v>14.86</v>
      </c>
      <c r="E43" s="4">
        <f t="shared" si="0"/>
        <v>3.5</v>
      </c>
      <c r="F43" s="6">
        <f t="shared" si="1"/>
        <v>1.3080985915492958</v>
      </c>
      <c r="G43" s="4">
        <v>16</v>
      </c>
      <c r="H43" s="4">
        <v>515</v>
      </c>
      <c r="I43" s="3"/>
    </row>
    <row r="44" spans="1:9">
      <c r="A44" s="2">
        <v>46221</v>
      </c>
      <c r="B44" s="4">
        <v>1240</v>
      </c>
      <c r="C44" s="4">
        <v>11.36</v>
      </c>
      <c r="D44" s="4">
        <v>18.54</v>
      </c>
      <c r="E44" s="4">
        <f t="shared" si="0"/>
        <v>7.18</v>
      </c>
      <c r="F44" s="6">
        <f t="shared" si="1"/>
        <v>1.6320422535211268</v>
      </c>
      <c r="G44" s="4">
        <v>16</v>
      </c>
      <c r="H44" s="4">
        <v>320</v>
      </c>
      <c r="I44" s="3"/>
    </row>
    <row r="45" spans="1:9">
      <c r="A45" s="2">
        <v>46222</v>
      </c>
      <c r="B45" s="4">
        <v>1240</v>
      </c>
      <c r="C45" s="4">
        <v>11.36</v>
      </c>
      <c r="D45" s="4">
        <v>18.200000000000003</v>
      </c>
      <c r="E45" s="4">
        <f t="shared" si="0"/>
        <v>6.8400000000000034</v>
      </c>
      <c r="F45" s="6">
        <f t="shared" si="1"/>
        <v>1.6021126760563384</v>
      </c>
      <c r="G45" s="4">
        <v>15</v>
      </c>
      <c r="H45" s="4">
        <v>320</v>
      </c>
      <c r="I45" s="3"/>
    </row>
    <row r="46" spans="1:9">
      <c r="A46" s="2">
        <v>46223</v>
      </c>
      <c r="B46" s="4">
        <v>1240</v>
      </c>
      <c r="C46" s="4">
        <v>11.36</v>
      </c>
      <c r="D46" s="4">
        <v>18.240000000000002</v>
      </c>
      <c r="E46" s="4">
        <f t="shared" si="0"/>
        <v>6.8800000000000026</v>
      </c>
      <c r="F46" s="6">
        <f t="shared" si="1"/>
        <v>1.6056338028169017</v>
      </c>
      <c r="G46" s="4">
        <v>15</v>
      </c>
      <c r="H46" s="4">
        <v>320</v>
      </c>
      <c r="I46" s="3"/>
    </row>
  </sheetData>
  <conditionalFormatting sqref="E2:E46">
    <cfRule type="expression" dxfId="1" priority="1">
      <formula>E2&lt;0</formula>
    </cfRule>
    <cfRule type="expression" dxfId="0" priority="2">
      <formula>E2&gt;0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8"/>
  <cols>
    <col min="1" max="1" width="9.69921875" customWidth="1"/>
    <col min="2" max="2" width="22.8984375" customWidth="1"/>
  </cols>
  <sheetData>
    <row r="1" spans="1:2" ht="25.65" customHeight="1">
      <c r="A1" s="1" t="s">
        <v>3</v>
      </c>
      <c r="B1" s="1" t="s">
        <v>5</v>
      </c>
    </row>
    <row r="2" spans="1:2">
      <c r="A2" t="s">
        <v>79</v>
      </c>
      <c r="B2">
        <v>110</v>
      </c>
    </row>
    <row r="3" spans="1:2">
      <c r="A3" t="s">
        <v>80</v>
      </c>
      <c r="B3">
        <v>110</v>
      </c>
    </row>
    <row r="4" spans="1:2">
      <c r="A4" t="s">
        <v>81</v>
      </c>
      <c r="B4">
        <v>210</v>
      </c>
    </row>
    <row r="5" spans="1:2">
      <c r="A5" t="s">
        <v>82</v>
      </c>
      <c r="B5">
        <v>210</v>
      </c>
    </row>
    <row r="6" spans="1:2">
      <c r="A6" t="s">
        <v>83</v>
      </c>
      <c r="B6">
        <v>210</v>
      </c>
    </row>
    <row r="7" spans="1:2">
      <c r="A7" t="s">
        <v>84</v>
      </c>
      <c r="B7">
        <v>195</v>
      </c>
    </row>
    <row r="8" spans="1:2">
      <c r="A8" t="s">
        <v>85</v>
      </c>
      <c r="B8">
        <v>195</v>
      </c>
    </row>
    <row r="9" spans="1:2">
      <c r="A9" t="s">
        <v>86</v>
      </c>
      <c r="B9">
        <v>1240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1" width="23" customWidth="1"/>
    <col min="2" max="2" width="20.8984375" customWidth="1"/>
  </cols>
  <sheetData>
    <row r="1" spans="1:2" ht="25.65" customHeight="1">
      <c r="A1" s="1" t="s">
        <v>87</v>
      </c>
      <c r="B1" s="1" t="s">
        <v>88</v>
      </c>
    </row>
    <row r="2" spans="1:2">
      <c r="A2" t="s">
        <v>89</v>
      </c>
      <c r="B2" t="s">
        <v>90</v>
      </c>
    </row>
    <row r="3" spans="1:2">
      <c r="A3" t="s">
        <v>91</v>
      </c>
      <c r="B3">
        <v>45</v>
      </c>
    </row>
    <row r="4" spans="1:2">
      <c r="A4" t="s">
        <v>92</v>
      </c>
      <c r="B4">
        <v>45</v>
      </c>
    </row>
    <row r="5" spans="1:2">
      <c r="A5" t="s">
        <v>93</v>
      </c>
      <c r="B5">
        <v>360</v>
      </c>
    </row>
    <row r="6" spans="1:2">
      <c r="A6" t="s">
        <v>94</v>
      </c>
      <c r="B6">
        <v>360</v>
      </c>
    </row>
    <row r="7" spans="1:2">
      <c r="A7" t="s">
        <v>95</v>
      </c>
      <c r="B7">
        <v>0</v>
      </c>
    </row>
    <row r="8" spans="1:2">
      <c r="A8" t="s">
        <v>96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3.8"/>
  <cols>
    <col min="1" max="1" width="28" customWidth="1"/>
    <col min="2" max="2" width="60" customWidth="1"/>
  </cols>
  <sheetData>
    <row r="1" spans="1:2" ht="25.65" customHeight="1">
      <c r="A1" s="1" t="s">
        <v>97</v>
      </c>
      <c r="B1" s="1"/>
    </row>
    <row r="2" spans="1:2">
      <c r="A2" s="3" t="s">
        <v>98</v>
      </c>
      <c r="B2" s="3" t="s">
        <v>99</v>
      </c>
    </row>
    <row r="3" spans="1:2">
      <c r="A3" s="3" t="s">
        <v>100</v>
      </c>
      <c r="B3" s="3" t="s">
        <v>101</v>
      </c>
    </row>
    <row r="4" spans="1:2">
      <c r="A4" s="3" t="s">
        <v>19</v>
      </c>
      <c r="B4" s="3" t="s">
        <v>18</v>
      </c>
    </row>
    <row r="5" spans="1:2" ht="27.6">
      <c r="A5" s="3" t="s">
        <v>102</v>
      </c>
      <c r="B5" s="3" t="s">
        <v>103</v>
      </c>
    </row>
    <row r="6" spans="1:2">
      <c r="A6" s="3" t="s">
        <v>104</v>
      </c>
      <c r="B6" s="3" t="s">
        <v>105</v>
      </c>
    </row>
    <row r="7" spans="1:2">
      <c r="A7" s="3" t="s">
        <v>106</v>
      </c>
      <c r="B7" s="3" t="s">
        <v>107</v>
      </c>
    </row>
    <row r="8" spans="1:2">
      <c r="A8" s="3" t="s">
        <v>108</v>
      </c>
      <c r="B8" s="3" t="s">
        <v>109</v>
      </c>
    </row>
    <row r="9" spans="1:2">
      <c r="A9" s="3" t="s">
        <v>110</v>
      </c>
      <c r="B9" s="3" t="s">
        <v>111</v>
      </c>
    </row>
    <row r="10" spans="1:2">
      <c r="A10" s="3" t="s">
        <v>112</v>
      </c>
      <c r="B10" s="3" t="s">
        <v>113</v>
      </c>
    </row>
    <row r="11" spans="1:2" ht="27.6">
      <c r="A11" s="3" t="s">
        <v>114</v>
      </c>
      <c r="B11" s="3" t="s">
        <v>115</v>
      </c>
    </row>
    <row r="12" spans="1:2" ht="27.6">
      <c r="A12" s="3" t="s">
        <v>116</v>
      </c>
      <c r="B12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Master_Data</vt:lpstr>
      <vt:lpstr>Unit_Daily</vt:lpstr>
      <vt:lpstr>Daily_Station_Summary</vt:lpstr>
      <vt:lpstr>Unit_Reference</vt:lpstr>
      <vt:lpstr>Data_Quality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Shelly Sharma</cp:lastModifiedBy>
  <dcterms:modified xsi:type="dcterms:W3CDTF">2026-09-28T20:23:13Z</dcterms:modified>
</cp:coreProperties>
</file>