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_Data" sheetId="2" state="visible" r:id="rId4"/>
    <sheet name="Unit_Daily" sheetId="3" state="visible" r:id="rId5"/>
    <sheet name="Station_Daily" sheetId="4" state="visible" r:id="rId6"/>
    <sheet name="Unit_Reference" sheetId="5" state="visible" r:id="rId7"/>
    <sheet name="Data_Quality" sheetId="6" state="visible" r:id="rId8"/>
    <sheet name="Data_Dictionary" sheetId="7" state="visible" r:id="rId9"/>
  </sheets>
  <definedNames>
    <definedName function="false" hidden="true" localSheetId="3" name="_xlnm._FilterDatabase" vbProcedure="false">Station_Daily!$A$1:$P$46</definedName>
    <definedName function="false" hidden="true" localSheetId="2" name="_xlnm._FilterDatabase" vbProcedure="false">Unit_Daily!$A$1:$W$316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<sst xmlns="http://schemas.openxmlformats.org/spreadsheetml/2006/main" count="1446" uniqueCount="205">
  <si>
    <t xml:space="preserve">Kota TPS Performance Analysis — Cleaned Workbook</t>
  </si>
  <si>
    <t xml:space="preserve">Source</t>
  </si>
  <si>
    <t xml:space="preserve">National Power Portal (NPP) Report 02 daily generation reports</t>
  </si>
  <si>
    <t xml:space="preserve">Analysis Period</t>
  </si>
  <si>
    <t xml:space="preserve">06-Jun-2026 to 20-Jul-2026 (45 days)</t>
  </si>
  <si>
    <t xml:space="preserve">Station</t>
  </si>
  <si>
    <t xml:space="preserve">KOTA TPS (1240 MW, 7 units: 2x110, 3x210, 2x195 MW)</t>
  </si>
  <si>
    <t xml:space="preserve">Purpose</t>
  </si>
  <si>
    <t xml:space="preserve">Consolidated, analysis-ready station-level and unit-level dataset for Excel, SQL, Python and Power BI.</t>
  </si>
  <si>
    <t xml:space="preserve">Sheet guide</t>
  </si>
  <si>
    <t xml:space="preserve">  Master_Data</t>
  </si>
  <si>
    <t xml:space="preserve">Original raw extract — untouched. Keep as the audit trail.</t>
  </si>
  <si>
    <t xml:space="preserve">  Unit_Daily</t>
  </si>
  <si>
    <t xml:space="preserve">One row per unit per day (315 rows), with derived KPI columns.</t>
  </si>
  <si>
    <t xml:space="preserve">  Station_Daily</t>
  </si>
  <si>
    <t xml:space="preserve">One row per day for the whole station (45 rows), with derived KPI columns.</t>
  </si>
  <si>
    <t xml:space="preserve">  Unit_Reference</t>
  </si>
  <si>
    <t xml:space="preserve">Static capacity reference per unit.</t>
  </si>
  <si>
    <t xml:space="preserve">  Data_Dictionary</t>
  </si>
  <si>
    <t xml:space="preserve">Every column explained: meaning, unit, how it is calculated.</t>
  </si>
  <si>
    <t xml:space="preserve">  Data_Quality</t>
  </si>
  <si>
    <t xml:space="preserve">Parsing/extraction checks carried over from the raw file.</t>
  </si>
  <si>
    <t xml:space="preserve">  Pivot_PLF_by_Phase</t>
  </si>
  <si>
    <t xml:space="preserve">Unit PLF grouped by the three operating phases.</t>
  </si>
  <si>
    <t xml:space="preserve">  Pivot_Outage_Loss</t>
  </si>
  <si>
    <t xml:space="preserve">Estimated energy loss (MU) by outage cause.</t>
  </si>
  <si>
    <t xml:space="preserve">Important</t>
  </si>
  <si>
    <t xml:space="preserve">Program Achievement is NOT thermal efficiency. Heat rate / fuel data is not present in Report 02, so true thermal efficiency cannot be calculated from this dataset.</t>
  </si>
  <si>
    <t xml:space="preserve">Data Integrity</t>
  </si>
  <si>
    <t xml:space="preserve">Raw source values are retained unchanged in Master_Data. Every KPI in Unit_Daily/Station_Daily is a live formula, not a typed-in number.</t>
  </si>
  <si>
    <t xml:space="preserve">Estimated Outage Loss</t>
  </si>
  <si>
    <t xml:space="preserve">Est_Loss_MU is an ANALYST ESTIMATE: each unit's own non-outage daily average minus its actual generation on outage days. It is not an official utility figure.</t>
  </si>
  <si>
    <t xml:space="preserve">Date</t>
  </si>
  <si>
    <t xml:space="preserve">Power Station</t>
  </si>
  <si>
    <t xml:space="preserve">Record Type</t>
  </si>
  <si>
    <t xml:space="preserve">Unit</t>
  </si>
  <si>
    <t xml:space="preserve">Status</t>
  </si>
  <si>
    <t xml:space="preserve">Monitored Capacity (MW)</t>
  </si>
  <si>
    <t xml:space="preserve">Today's Program (MU)</t>
  </si>
  <si>
    <t xml:space="preserve">Today's Actual (MU)</t>
  </si>
  <si>
    <t xml:space="preserve">April 1 Till Date Program (MU)</t>
  </si>
  <si>
    <t xml:space="preserve">April 1 Till Date Actual (MU)</t>
  </si>
  <si>
    <t xml:space="preserve">Coal Stock (Days)</t>
  </si>
  <si>
    <t xml:space="preserve">Capacity Under Outage (MW)</t>
  </si>
  <si>
    <t xml:space="preserve">Outage Date</t>
  </si>
  <si>
    <t xml:space="preserve">Expected/Sync Date</t>
  </si>
  <si>
    <t xml:space="preserve">Remarks</t>
  </si>
  <si>
    <t xml:space="preserve">Generation Variance (MU)</t>
  </si>
  <si>
    <t xml:space="preserve">Program Achievement (%)</t>
  </si>
  <si>
    <t xml:space="preserve">Source File</t>
  </si>
  <si>
    <t xml:space="preserve">KOTA TPS</t>
  </si>
  <si>
    <t xml:space="preserve">dgr2-2026-06-06.xls</t>
  </si>
  <si>
    <t xml:space="preserve">dgr2-2026-06-07.xls</t>
  </si>
  <si>
    <t xml:space="preserve">dgr2-2026-06-08.xls</t>
  </si>
  <si>
    <t xml:space="preserve">dgr2-2026-06-09.xls</t>
  </si>
  <si>
    <t xml:space="preserve">dgr2-2026-06-10.xls</t>
  </si>
  <si>
    <t xml:space="preserve">dgr2-2026-06-11.xls</t>
  </si>
  <si>
    <t xml:space="preserve">dgr2-2026-06-12.xls</t>
  </si>
  <si>
    <t xml:space="preserve">dgr2-2026-06-13.xls</t>
  </si>
  <si>
    <t xml:space="preserve">dgr2-2026-06-14.xls</t>
  </si>
  <si>
    <t xml:space="preserve">dgr2-2026-06-15.xls</t>
  </si>
  <si>
    <t xml:space="preserve">dgr2-2026-06-16.xls</t>
  </si>
  <si>
    <t xml:space="preserve">dgr2-2026-06-17.xls</t>
  </si>
  <si>
    <t xml:space="preserve">dgr2-2026-06-18.xls</t>
  </si>
  <si>
    <t xml:space="preserve">dgr2-2026-06-19.xls</t>
  </si>
  <si>
    <t xml:space="preserve">dgr2-2026-06-20.xls</t>
  </si>
  <si>
    <t xml:space="preserve">dgr2-2026-06-21.xls</t>
  </si>
  <si>
    <t xml:space="preserve">dgr2-2026-06-22.xls</t>
  </si>
  <si>
    <t xml:space="preserve">dgr2-2026-06-23.xls</t>
  </si>
  <si>
    <t xml:space="preserve">dgr2-2026-06-24.xls</t>
  </si>
  <si>
    <t xml:space="preserve">dgr2-2026-06-25.xls</t>
  </si>
  <si>
    <t xml:space="preserve">dgr2-2026-06-26.xls</t>
  </si>
  <si>
    <t xml:space="preserve">dgr2-2026-06-27.xls</t>
  </si>
  <si>
    <t xml:space="preserve">dgr2-2026-06-28.xls</t>
  </si>
  <si>
    <t xml:space="preserve">dgr2-2026-06-29.xls</t>
  </si>
  <si>
    <t xml:space="preserve">dgr2-2026-06-30.xls</t>
  </si>
  <si>
    <t xml:space="preserve">S</t>
  </si>
  <si>
    <t xml:space="preserve">AIR PREHEATERS PROBLEM</t>
  </si>
  <si>
    <t xml:space="preserve">dgr2-2026-07-01.xls</t>
  </si>
  <si>
    <t xml:space="preserve">*</t>
  </si>
  <si>
    <t xml:space="preserve">dgr2-2026-07-02.xls</t>
  </si>
  <si>
    <t xml:space="preserve">dgr2-2026-07-03.xls</t>
  </si>
  <si>
    <t xml:space="preserve">dgr2-2026-07-04.xls</t>
  </si>
  <si>
    <t xml:space="preserve">dgr2-2026-07-05.xls</t>
  </si>
  <si>
    <t xml:space="preserve">TURBINE BEARING PROBLEM</t>
  </si>
  <si>
    <t xml:space="preserve">dgr2-2026-07-06.xls</t>
  </si>
  <si>
    <t xml:space="preserve">ELECTRICAL MISCELLANEOUS PROBLEMS</t>
  </si>
  <si>
    <t xml:space="preserve">dgr2-2026-07-07.xls</t>
  </si>
  <si>
    <t xml:space="preserve">dgr2-2026-07-08.xls</t>
  </si>
  <si>
    <t xml:space="preserve">dgr2-2026-07-09.xls</t>
  </si>
  <si>
    <t xml:space="preserve">GENERATOR MISCLLANEOUS MAINTENANCE</t>
  </si>
  <si>
    <t xml:space="preserve">dgr2-2026-07-10.xls</t>
  </si>
  <si>
    <t xml:space="preserve">dgr2-2026-07-11.xls</t>
  </si>
  <si>
    <t xml:space="preserve">dgr2-2026-07-12.xls</t>
  </si>
  <si>
    <t xml:space="preserve">dgr2-2026-07-13.xls</t>
  </si>
  <si>
    <t xml:space="preserve">dgr2-2026-07-14.xls</t>
  </si>
  <si>
    <t xml:space="preserve">dgr2-2026-07-15.xls</t>
  </si>
  <si>
    <t xml:space="preserve">TURBINE MISC. PROBLEM</t>
  </si>
  <si>
    <t xml:space="preserve">BOILER MISC. PROBLEM</t>
  </si>
  <si>
    <t xml:space="preserve">dgr2-2026-07-16.xls</t>
  </si>
  <si>
    <t xml:space="preserve">dgr2-2026-07-17.xls</t>
  </si>
  <si>
    <t xml:space="preserve">dgr2-2026-07-18.xls</t>
  </si>
  <si>
    <t xml:space="preserve">TURBINE VIBRATIONS HIGH</t>
  </si>
  <si>
    <t xml:space="preserve">dgr2-2026-07-19.xls</t>
  </si>
  <si>
    <t xml:space="preserve">dgr2-2026-07-20.xls</t>
  </si>
  <si>
    <t xml:space="preserve">Unit_Label</t>
  </si>
  <si>
    <t xml:space="preserve">Capacity_MW</t>
  </si>
  <si>
    <t xml:space="preserve">Program_MU</t>
  </si>
  <si>
    <t xml:space="preserve">Actual_MU</t>
  </si>
  <si>
    <t xml:space="preserve">Outage_MW</t>
  </si>
  <si>
    <t xml:space="preserve">Outage_DateTime</t>
  </si>
  <si>
    <t xml:space="preserve">Sync_DateTime</t>
  </si>
  <si>
    <t xml:space="preserve">Max_Possible_MU</t>
  </si>
  <si>
    <t xml:space="preserve">PLF</t>
  </si>
  <si>
    <t xml:space="preserve">Variance_MU</t>
  </si>
  <si>
    <t xml:space="preserve">Achievement</t>
  </si>
  <si>
    <t xml:space="preserve">Outage_Flag</t>
  </si>
  <si>
    <t xml:space="preserve">ZeroGen_Flag</t>
  </si>
  <si>
    <t xml:space="preserve">Month</t>
  </si>
  <si>
    <t xml:space="preserve">Week</t>
  </si>
  <si>
    <t xml:space="preserve">Phase</t>
  </si>
  <si>
    <t xml:space="preserve">Outage_Category</t>
  </si>
  <si>
    <t xml:space="preserve">Baseline_MU</t>
  </si>
  <si>
    <t xml:space="preserve">Est_Loss_MU</t>
  </si>
  <si>
    <t xml:space="preserve">Coal_Stock_Days</t>
  </si>
  <si>
    <t xml:space="preserve">Capacity_Available_Pct</t>
  </si>
  <si>
    <t xml:space="preserve">Actual_7D_Avg</t>
  </si>
  <si>
    <t xml:space="preserve">Coal_Change_Days</t>
  </si>
  <si>
    <t xml:space="preserve">Check_vs_Units</t>
  </si>
  <si>
    <t xml:space="preserve">Unit 1</t>
  </si>
  <si>
    <t xml:space="preserve">Unit 2</t>
  </si>
  <si>
    <t xml:space="preserve">Unit 3</t>
  </si>
  <si>
    <t xml:space="preserve">Unit 4</t>
  </si>
  <si>
    <t xml:space="preserve">Unit 5</t>
  </si>
  <si>
    <t xml:space="preserve">Unit 6</t>
  </si>
  <si>
    <t xml:space="preserve">Unit 7</t>
  </si>
  <si>
    <t xml:space="preserve">Station Total</t>
  </si>
  <si>
    <t xml:space="preserve">Check</t>
  </si>
  <si>
    <t xml:space="preserve">Result</t>
  </si>
  <si>
    <t xml:space="preserve">Expected date range</t>
  </si>
  <si>
    <t xml:space="preserve">06-Jun-2026 to 20-Jul-2026</t>
  </si>
  <si>
    <t xml:space="preserve">Expected daily files</t>
  </si>
  <si>
    <t xml:space="preserve">Daily files successfully parsed</t>
  </si>
  <si>
    <t xml:space="preserve">Expected Kota records (8 x 45)</t>
  </si>
  <si>
    <t xml:space="preserve">Kota records extracted</t>
  </si>
  <si>
    <t xml:space="preserve">Missing source files</t>
  </si>
  <si>
    <t xml:space="preserve">Data-quality flags</t>
  </si>
  <si>
    <t xml:space="preserve">Sheet</t>
  </si>
  <si>
    <t xml:space="preserve">Field</t>
  </si>
  <si>
    <t xml:space="preserve">Meaning</t>
  </si>
  <si>
    <t xml:space="preserve">How calculated / source</t>
  </si>
  <si>
    <t xml:space="preserve">Unit_Daily</t>
  </si>
  <si>
    <t xml:space="preserve">Calendar date of the daily report</t>
  </si>
  <si>
    <t xml:space="preserve">Raw, from NPP Report 02</t>
  </si>
  <si>
    <t xml:space="preserve">Unit number 1-7</t>
  </si>
  <si>
    <t xml:space="preserve">Raw</t>
  </si>
  <si>
    <t xml:space="preserve">Text label e.g. "Unit 1"</t>
  </si>
  <si>
    <t xml:space="preserve">Concatenates "Unit " with the Unit number</t>
  </si>
  <si>
    <t xml:space="preserve">Status code on the report (S = under outage, * = day unit resynced). Confirm against NPP legend.</t>
  </si>
  <si>
    <t xml:space="preserve">Installed/monitored capacity of the unit</t>
  </si>
  <si>
    <t xml:space="preserve">Scheduled generation target for the day (million units)</t>
  </si>
  <si>
    <t xml:space="preserve">Actual generation for the day (million units)</t>
  </si>
  <si>
    <t xml:space="preserve">Capacity under outage that day</t>
  </si>
  <si>
    <t xml:space="preserve">Outage_DateTime / Sync_DateTime</t>
  </si>
  <si>
    <t xml:space="preserve">When the outage started / unit resynced</t>
  </si>
  <si>
    <t xml:space="preserve">Reason for outage, free text</t>
  </si>
  <si>
    <t xml:space="preserve">Max possible generation if running at full capacity all day</t>
  </si>
  <si>
    <t xml:space="preserve">Capacity_MW*24/1000</t>
  </si>
  <si>
    <t xml:space="preserve">Plant Load Factor — actual as a % of maximum possible</t>
  </si>
  <si>
    <t xml:space="preserve">Actual_MU/Max_Possible_MU</t>
  </si>
  <si>
    <t xml:space="preserve">Actual minus Program</t>
  </si>
  <si>
    <t xml:space="preserve">Actual_MU-Program_MU</t>
  </si>
  <si>
    <t xml:space="preserve">Actual as a % of Program (NOT efficiency)</t>
  </si>
  <si>
    <t xml:space="preserve">Actual_MU/Program_MU</t>
  </si>
  <si>
    <t xml:space="preserve">1 if any capacity was under outage that day</t>
  </si>
  <si>
    <t xml:space="preserve">IF(Outage_MW&gt;0,1,0)</t>
  </si>
  <si>
    <t xml:space="preserve">1 if the unit generated nothing that day</t>
  </si>
  <si>
    <t xml:space="preserve">IF(Actual_MU=0,1,0)</t>
  </si>
  <si>
    <t xml:space="preserve">Groups days into 3 operating periods for comparison</t>
  </si>
  <si>
    <t xml:space="preserve">Date-based rule</t>
  </si>
  <si>
    <t xml:space="preserve">Groups free-text Remarks into Turbine/Generator/Boiler/Auxiliary/Electrical/Other</t>
  </si>
  <si>
    <t xml:space="preserve">Keyword search on Remarks</t>
  </si>
  <si>
    <t xml:space="preserve">This unit's average Actual_MU on days with NO outage</t>
  </si>
  <si>
    <t xml:space="preserve">AVERAGEIFS</t>
  </si>
  <si>
    <t xml:space="preserve">ESTIMATED energy lost on an outage day = Baseline_MU - Actual_MU (analyst estimate, not an official figure)</t>
  </si>
  <si>
    <t xml:space="preserve">MAX(0,Baseline_MU-Actual_MU) when Outage_Flag=1</t>
  </si>
  <si>
    <t xml:space="preserve">Station_Daily</t>
  </si>
  <si>
    <t xml:space="preserve">Days of coal stock remaining at the station</t>
  </si>
  <si>
    <t xml:space="preserve">Share of installed capacity NOT under outage (not the official availability factor)</t>
  </si>
  <si>
    <t xml:space="preserve">(Capacity_MW-Outage_MW)/Capacity_MW</t>
  </si>
  <si>
    <t xml:space="preserve">7-day rolling average of Actual_MU, smooths daily noise</t>
  </si>
  <si>
    <t xml:space="preserve">AVERAGE of trailing 7 days</t>
  </si>
  <si>
    <t xml:space="preserve">Day-on-day change in coal stock</t>
  </si>
  <si>
    <t xml:space="preserve">Today - Yesterday</t>
  </si>
  <si>
    <t xml:space="preserve">Validation: should be 0 on every row (station Actual should equal the sum of all 7 units)</t>
  </si>
  <si>
    <t xml:space="preserve">SUMIFS(Unit_Daily Actual_MU) - Station Actual_MU</t>
  </si>
  <si>
    <t xml:space="preserve">All</t>
  </si>
  <si>
    <t xml:space="preserve">Phase definition</t>
  </si>
  <si>
    <t xml:space="preserve">1-Pre-outage: 6-29 Jun | 2-Transition: 30 Jun-4 Jul | 3-Outage-heavy: 5-20 Jul</t>
  </si>
  <si>
    <t xml:space="preserve">Chosen from the outage pattern in this dataset</t>
  </si>
  <si>
    <t xml:space="preserve">LIMITATIONS</t>
  </si>
  <si>
    <t xml:space="preserve">• No heat rate, fuel/coal consumption, or auxiliary power consumption data is present, so true thermal efficiency cannot be calculated from this dataset.</t>
  </si>
  <si>
    <t xml:space="preserve">• Only 45 days of data (6 Jun - 20 Jul 2026) — not enough to draw seasonal conclusions.</t>
  </si>
  <si>
    <t xml:space="preserve">• Est_Loss_MU is an analyst estimate against each unit's own baseline, not an official utility-reported loss figure.</t>
  </si>
  <si>
    <t xml:space="preserve">• Status code meanings (S, *) are inferred from the pattern in the data and should be confirmed against the official NPP report legend.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</si>
</sst>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yyyy\-mm\-dd\ h:mm:ss"/>
    <numFmt numFmtId="167" formatCode="0.0%"/>
    <numFmt numFmtId="168" formatCode="dd\-mmm\-yyyy\ 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/>
    </row>
    <row r="7" customFormat="false" ht="15" hidden="false" customHeight="false" outlineLevel="0" collapsed="false">
      <c r="A7" s="2" t="s">
        <v>10</v>
      </c>
      <c r="B7" s="3" t="s">
        <v>11</v>
      </c>
    </row>
    <row r="8" customFormat="false" ht="15" hidden="false" customHeight="false" outlineLevel="0" collapsed="false">
      <c r="A8" s="2" t="s">
        <v>12</v>
      </c>
      <c r="B8" s="3" t="s">
        <v>13</v>
      </c>
    </row>
    <row r="9" customFormat="false" ht="15" hidden="false" customHeight="false" outlineLevel="0" collapsed="false">
      <c r="A9" s="2" t="s">
        <v>14</v>
      </c>
      <c r="B9" s="3" t="s">
        <v>15</v>
      </c>
    </row>
    <row r="10" customFormat="false" ht="15" hidden="false" customHeight="false" outlineLevel="0" collapsed="false">
      <c r="A10" s="2" t="s">
        <v>16</v>
      </c>
      <c r="B10" s="3" t="s">
        <v>17</v>
      </c>
    </row>
    <row r="11" customFormat="false" ht="15" hidden="false" customHeight="false" outlineLevel="0" collapsed="false">
      <c r="A11" s="2" t="s">
        <v>18</v>
      </c>
      <c r="B11" s="3" t="s">
        <v>19</v>
      </c>
    </row>
    <row r="12" customFormat="false" ht="15" hidden="false" customHeight="false" outlineLevel="0" collapsed="false">
      <c r="A12" s="2" t="s">
        <v>20</v>
      </c>
      <c r="B12" s="3" t="s">
        <v>21</v>
      </c>
    </row>
    <row r="13" customFormat="false" ht="15" hidden="false" customHeight="false" outlineLevel="0" collapsed="false">
      <c r="A13" s="2" t="s">
        <v>22</v>
      </c>
      <c r="B13" s="3" t="s">
        <v>23</v>
      </c>
    </row>
    <row r="14" customFormat="false" ht="15" hidden="false" customHeight="false" outlineLevel="0" collapsed="false">
      <c r="A14" s="2" t="s">
        <v>24</v>
      </c>
      <c r="B14" s="3" t="s">
        <v>25</v>
      </c>
    </row>
    <row r="15" customFormat="false" ht="28.35" hidden="false" customHeight="false" outlineLevel="0" collapsed="false">
      <c r="A15" s="2" t="s">
        <v>26</v>
      </c>
      <c r="B15" s="3" t="s">
        <v>27</v>
      </c>
    </row>
    <row r="16" customFormat="false" ht="28.35" hidden="false" customHeight="false" outlineLevel="0" collapsed="false">
      <c r="A16" s="2" t="s">
        <v>28</v>
      </c>
      <c r="B16" s="3" t="s">
        <v>29</v>
      </c>
    </row>
    <row r="17" customFormat="false" ht="28.35" hidden="false" customHeight="false" outlineLevel="0" collapsed="false">
      <c r="A17" s="2" t="s">
        <v>30</v>
      </c>
      <c r="B17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25"/>
    <col collapsed="false" customWidth="true" hidden="false" outlineLevel="0" max="7" min="7" style="0" width="22"/>
    <col collapsed="false" customWidth="true" hidden="false" outlineLevel="0" max="8" min="8" style="0" width="21"/>
    <col collapsed="false" customWidth="true" hidden="false" outlineLevel="0" max="10" min="9" style="0" width="28"/>
    <col collapsed="false" customWidth="true" hidden="false" outlineLevel="0" max="11" min="11" style="0" width="19"/>
    <col collapsed="false" customWidth="true" hidden="false" outlineLevel="0" max="12" min="12" style="0" width="28"/>
    <col collapsed="false" customWidth="true" hidden="false" outlineLevel="0" max="14" min="13" style="0" width="21"/>
    <col collapsed="false" customWidth="true" hidden="false" outlineLevel="0" max="15" min="15" style="0" width="28"/>
    <col collapsed="false" customWidth="true" hidden="false" outlineLevel="0" max="16" min="16" style="0" width="26"/>
    <col collapsed="false" customWidth="true" hidden="false" outlineLevel="0" max="17" min="17" style="0" width="25"/>
    <col collapsed="false" customWidth="true" hidden="false" outlineLevel="0" max="18" min="18" style="0" width="21"/>
  </cols>
  <sheetData>
    <row r="1" customFormat="false" ht="30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</row>
    <row r="2" customFormat="false" ht="15" hidden="false" customHeight="false" outlineLevel="0" collapsed="false">
      <c r="A2" s="5" t="n">
        <v>46179</v>
      </c>
      <c r="B2" s="6" t="s">
        <v>50</v>
      </c>
      <c r="C2" s="6" t="s">
        <v>5</v>
      </c>
      <c r="D2" s="6"/>
      <c r="E2" s="6"/>
      <c r="F2" s="6" t="n">
        <v>1240</v>
      </c>
      <c r="G2" s="6" t="n">
        <v>23.96</v>
      </c>
      <c r="H2" s="6" t="n">
        <v>22.22</v>
      </c>
      <c r="I2" s="6" t="n">
        <v>1596.76</v>
      </c>
      <c r="J2" s="6" t="n">
        <v>1148.25</v>
      </c>
      <c r="K2" s="6" t="n">
        <v>15</v>
      </c>
      <c r="L2" s="6" t="n">
        <v>0</v>
      </c>
      <c r="M2" s="6"/>
      <c r="N2" s="6"/>
      <c r="O2" s="6"/>
      <c r="P2" s="6" t="n">
        <v>-1.74</v>
      </c>
      <c r="Q2" s="6" t="n">
        <v>0.927378964941569</v>
      </c>
      <c r="R2" s="6" t="s">
        <v>51</v>
      </c>
    </row>
    <row r="3" customFormat="false" ht="15" hidden="false" customHeight="false" outlineLevel="0" collapsed="false">
      <c r="A3" s="5" t="n">
        <v>46179</v>
      </c>
      <c r="B3" s="6" t="s">
        <v>50</v>
      </c>
      <c r="C3" s="6" t="s">
        <v>35</v>
      </c>
      <c r="D3" s="6" t="n">
        <v>1</v>
      </c>
      <c r="E3" s="6"/>
      <c r="F3" s="6" t="n">
        <v>110</v>
      </c>
      <c r="G3" s="6" t="n">
        <v>1.93</v>
      </c>
      <c r="H3" s="6" t="n">
        <v>1.62</v>
      </c>
      <c r="I3" s="6" t="n">
        <v>130.58</v>
      </c>
      <c r="J3" s="6" t="n">
        <v>92.61</v>
      </c>
      <c r="K3" s="6"/>
      <c r="L3" s="6" t="n">
        <v>0</v>
      </c>
      <c r="M3" s="6"/>
      <c r="N3" s="6"/>
      <c r="O3" s="6"/>
      <c r="P3" s="6" t="n">
        <v>-0.31</v>
      </c>
      <c r="Q3" s="6" t="n">
        <v>0.839378238341969</v>
      </c>
      <c r="R3" s="6" t="s">
        <v>51</v>
      </c>
    </row>
    <row r="4" customFormat="false" ht="15" hidden="false" customHeight="false" outlineLevel="0" collapsed="false">
      <c r="A4" s="5" t="n">
        <v>46179</v>
      </c>
      <c r="B4" s="6" t="s">
        <v>50</v>
      </c>
      <c r="C4" s="6" t="s">
        <v>35</v>
      </c>
      <c r="D4" s="6" t="n">
        <v>2</v>
      </c>
      <c r="E4" s="6"/>
      <c r="F4" s="6" t="n">
        <v>110</v>
      </c>
      <c r="G4" s="6" t="n">
        <v>1.93</v>
      </c>
      <c r="H4" s="6" t="n">
        <v>1.66</v>
      </c>
      <c r="I4" s="6" t="n">
        <v>130.58</v>
      </c>
      <c r="J4" s="6" t="n">
        <v>96.36</v>
      </c>
      <c r="K4" s="6"/>
      <c r="L4" s="6" t="n">
        <v>0</v>
      </c>
      <c r="M4" s="6"/>
      <c r="N4" s="6"/>
      <c r="O4" s="6"/>
      <c r="P4" s="6" t="n">
        <v>-0.27</v>
      </c>
      <c r="Q4" s="6" t="n">
        <v>0.860103626943005</v>
      </c>
      <c r="R4" s="6" t="s">
        <v>51</v>
      </c>
    </row>
    <row r="5" customFormat="false" ht="15" hidden="false" customHeight="false" outlineLevel="0" collapsed="false">
      <c r="A5" s="5" t="n">
        <v>46179</v>
      </c>
      <c r="B5" s="6" t="s">
        <v>50</v>
      </c>
      <c r="C5" s="6" t="s">
        <v>35</v>
      </c>
      <c r="D5" s="6" t="n">
        <v>3</v>
      </c>
      <c r="E5" s="6"/>
      <c r="F5" s="6" t="n">
        <v>210</v>
      </c>
      <c r="G5" s="6" t="n">
        <v>3.9</v>
      </c>
      <c r="H5" s="6" t="n">
        <v>3.67</v>
      </c>
      <c r="I5" s="6" t="n">
        <v>264.4</v>
      </c>
      <c r="J5" s="6" t="n">
        <v>207.76</v>
      </c>
      <c r="K5" s="6"/>
      <c r="L5" s="6" t="n">
        <v>0</v>
      </c>
      <c r="M5" s="6"/>
      <c r="N5" s="6"/>
      <c r="O5" s="6"/>
      <c r="P5" s="6" t="n">
        <v>-0.23</v>
      </c>
      <c r="Q5" s="6" t="n">
        <v>0.941025641025641</v>
      </c>
      <c r="R5" s="6" t="s">
        <v>51</v>
      </c>
    </row>
    <row r="6" customFormat="false" ht="15" hidden="false" customHeight="false" outlineLevel="0" collapsed="false">
      <c r="A6" s="5" t="n">
        <v>46179</v>
      </c>
      <c r="B6" s="6" t="s">
        <v>50</v>
      </c>
      <c r="C6" s="6" t="s">
        <v>35</v>
      </c>
      <c r="D6" s="6" t="n">
        <v>4</v>
      </c>
      <c r="E6" s="6"/>
      <c r="F6" s="6" t="n">
        <v>210</v>
      </c>
      <c r="G6" s="6" t="n">
        <v>4</v>
      </c>
      <c r="H6" s="6" t="n">
        <v>3.75</v>
      </c>
      <c r="I6" s="6" t="n">
        <v>262</v>
      </c>
      <c r="J6" s="6" t="n">
        <v>64.96</v>
      </c>
      <c r="K6" s="6"/>
      <c r="L6" s="6" t="n">
        <v>0</v>
      </c>
      <c r="M6" s="6"/>
      <c r="N6" s="6"/>
      <c r="O6" s="6"/>
      <c r="P6" s="6" t="n">
        <v>-0.25</v>
      </c>
      <c r="Q6" s="6" t="n">
        <v>0.9375</v>
      </c>
      <c r="R6" s="6" t="s">
        <v>51</v>
      </c>
    </row>
    <row r="7" customFormat="false" ht="15" hidden="false" customHeight="false" outlineLevel="0" collapsed="false">
      <c r="A7" s="5" t="n">
        <v>46179</v>
      </c>
      <c r="B7" s="6" t="s">
        <v>50</v>
      </c>
      <c r="C7" s="6" t="s">
        <v>35</v>
      </c>
      <c r="D7" s="6" t="n">
        <v>5</v>
      </c>
      <c r="E7" s="6"/>
      <c r="F7" s="6" t="n">
        <v>210</v>
      </c>
      <c r="G7" s="6" t="n">
        <v>4</v>
      </c>
      <c r="H7" s="6" t="n">
        <v>3.85</v>
      </c>
      <c r="I7" s="6" t="n">
        <v>266</v>
      </c>
      <c r="J7" s="6" t="n">
        <v>198.7</v>
      </c>
      <c r="K7" s="6"/>
      <c r="L7" s="6" t="n">
        <v>0</v>
      </c>
      <c r="M7" s="6"/>
      <c r="N7" s="6"/>
      <c r="O7" s="6"/>
      <c r="P7" s="6" t="n">
        <v>-0.15</v>
      </c>
      <c r="Q7" s="6" t="n">
        <v>0.9625</v>
      </c>
      <c r="R7" s="6" t="s">
        <v>51</v>
      </c>
    </row>
    <row r="8" customFormat="false" ht="15" hidden="false" customHeight="false" outlineLevel="0" collapsed="false">
      <c r="A8" s="5" t="n">
        <v>46179</v>
      </c>
      <c r="B8" s="6" t="s">
        <v>50</v>
      </c>
      <c r="C8" s="6" t="s">
        <v>35</v>
      </c>
      <c r="D8" s="6" t="n">
        <v>6</v>
      </c>
      <c r="E8" s="6"/>
      <c r="F8" s="6" t="n">
        <v>195</v>
      </c>
      <c r="G8" s="6" t="n">
        <v>4.1</v>
      </c>
      <c r="H8" s="6" t="n">
        <v>3.85</v>
      </c>
      <c r="I8" s="6" t="n">
        <v>272.6</v>
      </c>
      <c r="J8" s="6" t="n">
        <v>264.8</v>
      </c>
      <c r="K8" s="6"/>
      <c r="L8" s="6" t="n">
        <v>0</v>
      </c>
      <c r="M8" s="6"/>
      <c r="N8" s="6"/>
      <c r="O8" s="6"/>
      <c r="P8" s="6" t="n">
        <v>-0.25</v>
      </c>
      <c r="Q8" s="6" t="n">
        <v>0.939024390243903</v>
      </c>
      <c r="R8" s="6" t="s">
        <v>51</v>
      </c>
    </row>
    <row r="9" customFormat="false" ht="15" hidden="false" customHeight="false" outlineLevel="0" collapsed="false">
      <c r="A9" s="5" t="n">
        <v>46179</v>
      </c>
      <c r="B9" s="6" t="s">
        <v>50</v>
      </c>
      <c r="C9" s="6" t="s">
        <v>35</v>
      </c>
      <c r="D9" s="6" t="n">
        <v>7</v>
      </c>
      <c r="E9" s="6"/>
      <c r="F9" s="6" t="n">
        <v>195</v>
      </c>
      <c r="G9" s="6" t="n">
        <v>4.1</v>
      </c>
      <c r="H9" s="6" t="n">
        <v>3.82</v>
      </c>
      <c r="I9" s="6" t="n">
        <v>270.6</v>
      </c>
      <c r="J9" s="6" t="n">
        <v>223.06</v>
      </c>
      <c r="K9" s="6"/>
      <c r="L9" s="6" t="n">
        <v>0</v>
      </c>
      <c r="M9" s="6"/>
      <c r="N9" s="6"/>
      <c r="O9" s="6"/>
      <c r="P9" s="6" t="n">
        <v>-0.28</v>
      </c>
      <c r="Q9" s="6" t="n">
        <v>0.931707317073171</v>
      </c>
      <c r="R9" s="6" t="s">
        <v>51</v>
      </c>
    </row>
    <row r="10" customFormat="false" ht="15" hidden="false" customHeight="false" outlineLevel="0" collapsed="false">
      <c r="A10" s="5" t="n">
        <v>46180</v>
      </c>
      <c r="B10" s="6" t="s">
        <v>50</v>
      </c>
      <c r="C10" s="6" t="s">
        <v>5</v>
      </c>
      <c r="D10" s="6"/>
      <c r="E10" s="6"/>
      <c r="F10" s="6" t="n">
        <v>1240</v>
      </c>
      <c r="G10" s="6" t="n">
        <v>23.96</v>
      </c>
      <c r="H10" s="6" t="n">
        <v>21.88</v>
      </c>
      <c r="I10" s="6" t="n">
        <v>1620.72</v>
      </c>
      <c r="J10" s="6" t="n">
        <v>1170.13</v>
      </c>
      <c r="K10" s="6" t="n">
        <v>14</v>
      </c>
      <c r="L10" s="6" t="n">
        <v>0</v>
      </c>
      <c r="M10" s="6"/>
      <c r="N10" s="6"/>
      <c r="O10" s="6"/>
      <c r="P10" s="6" t="n">
        <v>-2.08</v>
      </c>
      <c r="Q10" s="6" t="n">
        <v>0.913188647746244</v>
      </c>
      <c r="R10" s="6" t="s">
        <v>52</v>
      </c>
    </row>
    <row r="11" customFormat="false" ht="15" hidden="false" customHeight="false" outlineLevel="0" collapsed="false">
      <c r="A11" s="5" t="n">
        <v>46180</v>
      </c>
      <c r="B11" s="6" t="s">
        <v>50</v>
      </c>
      <c r="C11" s="6" t="s">
        <v>35</v>
      </c>
      <c r="D11" s="6" t="n">
        <v>1</v>
      </c>
      <c r="E11" s="6"/>
      <c r="F11" s="6" t="n">
        <v>110</v>
      </c>
      <c r="G11" s="6" t="n">
        <v>1.93</v>
      </c>
      <c r="H11" s="6" t="n">
        <v>1.61</v>
      </c>
      <c r="I11" s="6" t="n">
        <v>132.51</v>
      </c>
      <c r="J11" s="6" t="n">
        <v>94.22</v>
      </c>
      <c r="K11" s="6"/>
      <c r="L11" s="6" t="n">
        <v>0</v>
      </c>
      <c r="M11" s="6"/>
      <c r="N11" s="6"/>
      <c r="O11" s="6"/>
      <c r="P11" s="6" t="n">
        <v>-0.32</v>
      </c>
      <c r="Q11" s="6" t="n">
        <v>0.83419689119171</v>
      </c>
      <c r="R11" s="6" t="s">
        <v>52</v>
      </c>
    </row>
    <row r="12" customFormat="false" ht="15" hidden="false" customHeight="false" outlineLevel="0" collapsed="false">
      <c r="A12" s="5" t="n">
        <v>46180</v>
      </c>
      <c r="B12" s="6" t="s">
        <v>50</v>
      </c>
      <c r="C12" s="6" t="s">
        <v>35</v>
      </c>
      <c r="D12" s="6" t="n">
        <v>2</v>
      </c>
      <c r="E12" s="6"/>
      <c r="F12" s="6" t="n">
        <v>110</v>
      </c>
      <c r="G12" s="6" t="n">
        <v>1.93</v>
      </c>
      <c r="H12" s="6" t="n">
        <v>1.58</v>
      </c>
      <c r="I12" s="6" t="n">
        <v>132.51</v>
      </c>
      <c r="J12" s="6" t="n">
        <v>97.94</v>
      </c>
      <c r="K12" s="6"/>
      <c r="L12" s="6" t="n">
        <v>0</v>
      </c>
      <c r="M12" s="6"/>
      <c r="N12" s="6"/>
      <c r="O12" s="6"/>
      <c r="P12" s="6" t="n">
        <v>-0.35</v>
      </c>
      <c r="Q12" s="6" t="n">
        <v>0.818652849740933</v>
      </c>
      <c r="R12" s="6" t="s">
        <v>52</v>
      </c>
    </row>
    <row r="13" customFormat="false" ht="15" hidden="false" customHeight="false" outlineLevel="0" collapsed="false">
      <c r="A13" s="5" t="n">
        <v>46180</v>
      </c>
      <c r="B13" s="6" t="s">
        <v>50</v>
      </c>
      <c r="C13" s="6" t="s">
        <v>35</v>
      </c>
      <c r="D13" s="6" t="n">
        <v>3</v>
      </c>
      <c r="E13" s="6"/>
      <c r="F13" s="6" t="n">
        <v>210</v>
      </c>
      <c r="G13" s="6" t="n">
        <v>3.9</v>
      </c>
      <c r="H13" s="6" t="n">
        <v>3.59</v>
      </c>
      <c r="I13" s="6" t="n">
        <v>268.3</v>
      </c>
      <c r="J13" s="6" t="n">
        <v>211.35</v>
      </c>
      <c r="K13" s="6"/>
      <c r="L13" s="6" t="n">
        <v>0</v>
      </c>
      <c r="M13" s="6"/>
      <c r="N13" s="6"/>
      <c r="O13" s="6"/>
      <c r="P13" s="6" t="n">
        <v>-0.31</v>
      </c>
      <c r="Q13" s="6" t="n">
        <v>0.920512820512821</v>
      </c>
      <c r="R13" s="6" t="s">
        <v>52</v>
      </c>
    </row>
    <row r="14" customFormat="false" ht="15" hidden="false" customHeight="false" outlineLevel="0" collapsed="false">
      <c r="A14" s="5" t="n">
        <v>46180</v>
      </c>
      <c r="B14" s="6" t="s">
        <v>50</v>
      </c>
      <c r="C14" s="6" t="s">
        <v>35</v>
      </c>
      <c r="D14" s="6" t="n">
        <v>4</v>
      </c>
      <c r="E14" s="6"/>
      <c r="F14" s="6" t="n">
        <v>210</v>
      </c>
      <c r="G14" s="6" t="n">
        <v>4</v>
      </c>
      <c r="H14" s="6" t="n">
        <v>3.61</v>
      </c>
      <c r="I14" s="6" t="n">
        <v>266</v>
      </c>
      <c r="J14" s="6" t="n">
        <v>68.57</v>
      </c>
      <c r="K14" s="6"/>
      <c r="L14" s="6" t="n">
        <v>0</v>
      </c>
      <c r="M14" s="6"/>
      <c r="N14" s="6"/>
      <c r="O14" s="6"/>
      <c r="P14" s="6" t="n">
        <v>-0.39</v>
      </c>
      <c r="Q14" s="6" t="n">
        <v>0.9025</v>
      </c>
      <c r="R14" s="6" t="s">
        <v>52</v>
      </c>
    </row>
    <row r="15" customFormat="false" ht="15" hidden="false" customHeight="false" outlineLevel="0" collapsed="false">
      <c r="A15" s="5" t="n">
        <v>46180</v>
      </c>
      <c r="B15" s="6" t="s">
        <v>50</v>
      </c>
      <c r="C15" s="6" t="s">
        <v>35</v>
      </c>
      <c r="D15" s="6" t="n">
        <v>5</v>
      </c>
      <c r="E15" s="6"/>
      <c r="F15" s="6" t="n">
        <v>210</v>
      </c>
      <c r="G15" s="6" t="n">
        <v>4</v>
      </c>
      <c r="H15" s="6" t="n">
        <v>3.83</v>
      </c>
      <c r="I15" s="6" t="n">
        <v>270</v>
      </c>
      <c r="J15" s="6" t="n">
        <v>202.53</v>
      </c>
      <c r="K15" s="6"/>
      <c r="L15" s="6" t="n">
        <v>0</v>
      </c>
      <c r="M15" s="6"/>
      <c r="N15" s="6"/>
      <c r="O15" s="6"/>
      <c r="P15" s="6" t="n">
        <v>-0.17</v>
      </c>
      <c r="Q15" s="6" t="n">
        <v>0.9575</v>
      </c>
      <c r="R15" s="6" t="s">
        <v>52</v>
      </c>
    </row>
    <row r="16" customFormat="false" ht="15" hidden="false" customHeight="false" outlineLevel="0" collapsed="false">
      <c r="A16" s="5" t="n">
        <v>46180</v>
      </c>
      <c r="B16" s="6" t="s">
        <v>50</v>
      </c>
      <c r="C16" s="6" t="s">
        <v>35</v>
      </c>
      <c r="D16" s="6" t="n">
        <v>6</v>
      </c>
      <c r="E16" s="6"/>
      <c r="F16" s="6" t="n">
        <v>195</v>
      </c>
      <c r="G16" s="6" t="n">
        <v>4.1</v>
      </c>
      <c r="H16" s="6" t="n">
        <v>3.85</v>
      </c>
      <c r="I16" s="6" t="n">
        <v>276.7</v>
      </c>
      <c r="J16" s="6" t="n">
        <v>268.65</v>
      </c>
      <c r="K16" s="6"/>
      <c r="L16" s="6" t="n">
        <v>0</v>
      </c>
      <c r="M16" s="6"/>
      <c r="N16" s="6"/>
      <c r="O16" s="6"/>
      <c r="P16" s="6" t="n">
        <v>-0.25</v>
      </c>
      <c r="Q16" s="6" t="n">
        <v>0.939024390243903</v>
      </c>
      <c r="R16" s="6" t="s">
        <v>52</v>
      </c>
    </row>
    <row r="17" customFormat="false" ht="15" hidden="false" customHeight="false" outlineLevel="0" collapsed="false">
      <c r="A17" s="5" t="n">
        <v>46180</v>
      </c>
      <c r="B17" s="6" t="s">
        <v>50</v>
      </c>
      <c r="C17" s="6" t="s">
        <v>35</v>
      </c>
      <c r="D17" s="6" t="n">
        <v>7</v>
      </c>
      <c r="E17" s="6"/>
      <c r="F17" s="6" t="n">
        <v>195</v>
      </c>
      <c r="G17" s="6" t="n">
        <v>4.1</v>
      </c>
      <c r="H17" s="6" t="n">
        <v>3.81</v>
      </c>
      <c r="I17" s="6" t="n">
        <v>274.7</v>
      </c>
      <c r="J17" s="6" t="n">
        <v>226.87</v>
      </c>
      <c r="K17" s="6"/>
      <c r="L17" s="6" t="n">
        <v>0</v>
      </c>
      <c r="M17" s="6"/>
      <c r="N17" s="6"/>
      <c r="O17" s="6"/>
      <c r="P17" s="6" t="n">
        <v>-0.29</v>
      </c>
      <c r="Q17" s="6" t="n">
        <v>0.929268292682927</v>
      </c>
      <c r="R17" s="6" t="s">
        <v>52</v>
      </c>
    </row>
    <row r="18" customFormat="false" ht="15" hidden="false" customHeight="false" outlineLevel="0" collapsed="false">
      <c r="A18" s="5" t="n">
        <v>46181</v>
      </c>
      <c r="B18" s="6" t="s">
        <v>50</v>
      </c>
      <c r="C18" s="6" t="s">
        <v>5</v>
      </c>
      <c r="D18" s="6"/>
      <c r="E18" s="6"/>
      <c r="F18" s="6" t="n">
        <v>1240</v>
      </c>
      <c r="G18" s="6" t="n">
        <v>23.96</v>
      </c>
      <c r="H18" s="6" t="n">
        <v>21.95</v>
      </c>
      <c r="I18" s="6" t="n">
        <v>1644.68</v>
      </c>
      <c r="J18" s="6" t="n">
        <v>1192.08</v>
      </c>
      <c r="K18" s="6" t="n">
        <v>14</v>
      </c>
      <c r="L18" s="6" t="n">
        <v>0</v>
      </c>
      <c r="M18" s="6"/>
      <c r="N18" s="6"/>
      <c r="O18" s="6"/>
      <c r="P18" s="6" t="n">
        <v>-2.01000000000001</v>
      </c>
      <c r="Q18" s="6" t="n">
        <v>0.916110183639399</v>
      </c>
      <c r="R18" s="6" t="s">
        <v>53</v>
      </c>
    </row>
    <row r="19" customFormat="false" ht="15" hidden="false" customHeight="false" outlineLevel="0" collapsed="false">
      <c r="A19" s="5" t="n">
        <v>46181</v>
      </c>
      <c r="B19" s="6" t="s">
        <v>50</v>
      </c>
      <c r="C19" s="6" t="s">
        <v>35</v>
      </c>
      <c r="D19" s="6" t="n">
        <v>1</v>
      </c>
      <c r="E19" s="6"/>
      <c r="F19" s="6" t="n">
        <v>110</v>
      </c>
      <c r="G19" s="6" t="n">
        <v>1.93</v>
      </c>
      <c r="H19" s="6" t="n">
        <v>1.55</v>
      </c>
      <c r="I19" s="6" t="n">
        <v>134.44</v>
      </c>
      <c r="J19" s="6" t="n">
        <v>95.77</v>
      </c>
      <c r="K19" s="6"/>
      <c r="L19" s="6" t="n">
        <v>0</v>
      </c>
      <c r="M19" s="6"/>
      <c r="N19" s="6"/>
      <c r="O19" s="6"/>
      <c r="P19" s="6" t="n">
        <v>-0.38</v>
      </c>
      <c r="Q19" s="6" t="n">
        <v>0.803108808290156</v>
      </c>
      <c r="R19" s="6" t="s">
        <v>53</v>
      </c>
    </row>
    <row r="20" customFormat="false" ht="15" hidden="false" customHeight="false" outlineLevel="0" collapsed="false">
      <c r="A20" s="5" t="n">
        <v>46181</v>
      </c>
      <c r="B20" s="6" t="s">
        <v>50</v>
      </c>
      <c r="C20" s="6" t="s">
        <v>35</v>
      </c>
      <c r="D20" s="6" t="n">
        <v>2</v>
      </c>
      <c r="E20" s="6"/>
      <c r="F20" s="6" t="n">
        <v>110</v>
      </c>
      <c r="G20" s="6" t="n">
        <v>1.93</v>
      </c>
      <c r="H20" s="6" t="n">
        <v>1.6</v>
      </c>
      <c r="I20" s="6" t="n">
        <v>134.44</v>
      </c>
      <c r="J20" s="6" t="n">
        <v>99.54</v>
      </c>
      <c r="K20" s="6"/>
      <c r="L20" s="6" t="n">
        <v>0</v>
      </c>
      <c r="M20" s="6"/>
      <c r="N20" s="6"/>
      <c r="O20" s="6"/>
      <c r="P20" s="6" t="n">
        <v>-0.33</v>
      </c>
      <c r="Q20" s="6" t="n">
        <v>0.829015544041451</v>
      </c>
      <c r="R20" s="6" t="s">
        <v>53</v>
      </c>
    </row>
    <row r="21" customFormat="false" ht="15" hidden="false" customHeight="false" outlineLevel="0" collapsed="false">
      <c r="A21" s="5" t="n">
        <v>46181</v>
      </c>
      <c r="B21" s="6" t="s">
        <v>50</v>
      </c>
      <c r="C21" s="6" t="s">
        <v>35</v>
      </c>
      <c r="D21" s="6" t="n">
        <v>3</v>
      </c>
      <c r="E21" s="6"/>
      <c r="F21" s="6" t="n">
        <v>210</v>
      </c>
      <c r="G21" s="6" t="n">
        <v>3.9</v>
      </c>
      <c r="H21" s="6" t="n">
        <v>3.61</v>
      </c>
      <c r="I21" s="6" t="n">
        <v>272.2</v>
      </c>
      <c r="J21" s="6" t="n">
        <v>214.96</v>
      </c>
      <c r="K21" s="6"/>
      <c r="L21" s="6" t="n">
        <v>0</v>
      </c>
      <c r="M21" s="6"/>
      <c r="N21" s="6"/>
      <c r="O21" s="6"/>
      <c r="P21" s="6" t="n">
        <v>-0.29</v>
      </c>
      <c r="Q21" s="6" t="n">
        <v>0.925641025641026</v>
      </c>
      <c r="R21" s="6" t="s">
        <v>53</v>
      </c>
    </row>
    <row r="22" customFormat="false" ht="15" hidden="false" customHeight="false" outlineLevel="0" collapsed="false">
      <c r="A22" s="5" t="n">
        <v>46181</v>
      </c>
      <c r="B22" s="6" t="s">
        <v>50</v>
      </c>
      <c r="C22" s="6" t="s">
        <v>35</v>
      </c>
      <c r="D22" s="6" t="n">
        <v>4</v>
      </c>
      <c r="E22" s="6"/>
      <c r="F22" s="6" t="n">
        <v>210</v>
      </c>
      <c r="G22" s="6" t="n">
        <v>4</v>
      </c>
      <c r="H22" s="6" t="n">
        <v>3.67</v>
      </c>
      <c r="I22" s="6" t="n">
        <v>270</v>
      </c>
      <c r="J22" s="6" t="n">
        <v>72.24</v>
      </c>
      <c r="K22" s="6"/>
      <c r="L22" s="6" t="n">
        <v>0</v>
      </c>
      <c r="M22" s="6"/>
      <c r="N22" s="6"/>
      <c r="O22" s="6"/>
      <c r="P22" s="6" t="n">
        <v>-0.33</v>
      </c>
      <c r="Q22" s="6" t="n">
        <v>0.9175</v>
      </c>
      <c r="R22" s="6" t="s">
        <v>53</v>
      </c>
    </row>
    <row r="23" customFormat="false" ht="15" hidden="false" customHeight="false" outlineLevel="0" collapsed="false">
      <c r="A23" s="5" t="n">
        <v>46181</v>
      </c>
      <c r="B23" s="6" t="s">
        <v>50</v>
      </c>
      <c r="C23" s="6" t="s">
        <v>35</v>
      </c>
      <c r="D23" s="6" t="n">
        <v>5</v>
      </c>
      <c r="E23" s="6"/>
      <c r="F23" s="6" t="n">
        <v>210</v>
      </c>
      <c r="G23" s="6" t="n">
        <v>4</v>
      </c>
      <c r="H23" s="6" t="n">
        <v>3.85</v>
      </c>
      <c r="I23" s="6" t="n">
        <v>274</v>
      </c>
      <c r="J23" s="6" t="n">
        <v>206.38</v>
      </c>
      <c r="K23" s="6"/>
      <c r="L23" s="6" t="n">
        <v>0</v>
      </c>
      <c r="M23" s="6"/>
      <c r="N23" s="6"/>
      <c r="O23" s="6"/>
      <c r="P23" s="6" t="n">
        <v>-0.15</v>
      </c>
      <c r="Q23" s="6" t="n">
        <v>0.9625</v>
      </c>
      <c r="R23" s="6" t="s">
        <v>53</v>
      </c>
    </row>
    <row r="24" customFormat="false" ht="15" hidden="false" customHeight="false" outlineLevel="0" collapsed="false">
      <c r="A24" s="5" t="n">
        <v>46181</v>
      </c>
      <c r="B24" s="6" t="s">
        <v>50</v>
      </c>
      <c r="C24" s="6" t="s">
        <v>35</v>
      </c>
      <c r="D24" s="6" t="n">
        <v>6</v>
      </c>
      <c r="E24" s="6"/>
      <c r="F24" s="6" t="n">
        <v>195</v>
      </c>
      <c r="G24" s="6" t="n">
        <v>4.1</v>
      </c>
      <c r="H24" s="6" t="n">
        <v>3.84</v>
      </c>
      <c r="I24" s="6" t="n">
        <v>280.8</v>
      </c>
      <c r="J24" s="6" t="n">
        <v>272.49</v>
      </c>
      <c r="K24" s="6"/>
      <c r="L24" s="6" t="n">
        <v>0</v>
      </c>
      <c r="M24" s="6"/>
      <c r="N24" s="6"/>
      <c r="O24" s="6"/>
      <c r="P24" s="6" t="n">
        <v>-0.26</v>
      </c>
      <c r="Q24" s="6" t="n">
        <v>0.936585365853659</v>
      </c>
      <c r="R24" s="6" t="s">
        <v>53</v>
      </c>
    </row>
    <row r="25" customFormat="false" ht="15" hidden="false" customHeight="false" outlineLevel="0" collapsed="false">
      <c r="A25" s="5" t="n">
        <v>46181</v>
      </c>
      <c r="B25" s="6" t="s">
        <v>50</v>
      </c>
      <c r="C25" s="6" t="s">
        <v>35</v>
      </c>
      <c r="D25" s="6" t="n">
        <v>7</v>
      </c>
      <c r="E25" s="6"/>
      <c r="F25" s="6" t="n">
        <v>195</v>
      </c>
      <c r="G25" s="6" t="n">
        <v>4.1</v>
      </c>
      <c r="H25" s="6" t="n">
        <v>3.83</v>
      </c>
      <c r="I25" s="6" t="n">
        <v>278.8</v>
      </c>
      <c r="J25" s="6" t="n">
        <v>230.7</v>
      </c>
      <c r="K25" s="6"/>
      <c r="L25" s="6" t="n">
        <v>0</v>
      </c>
      <c r="M25" s="6"/>
      <c r="N25" s="6"/>
      <c r="O25" s="6"/>
      <c r="P25" s="6" t="n">
        <v>-0.27</v>
      </c>
      <c r="Q25" s="6" t="n">
        <v>0.934146341463415</v>
      </c>
      <c r="R25" s="6" t="s">
        <v>53</v>
      </c>
    </row>
    <row r="26" customFormat="false" ht="15" hidden="false" customHeight="false" outlineLevel="0" collapsed="false">
      <c r="A26" s="5" t="n">
        <v>46182</v>
      </c>
      <c r="B26" s="6" t="s">
        <v>50</v>
      </c>
      <c r="C26" s="6" t="s">
        <v>5</v>
      </c>
      <c r="D26" s="6"/>
      <c r="E26" s="6"/>
      <c r="F26" s="6" t="n">
        <v>1240</v>
      </c>
      <c r="G26" s="6" t="n">
        <v>23.96</v>
      </c>
      <c r="H26" s="6" t="n">
        <v>22.45</v>
      </c>
      <c r="I26" s="6" t="n">
        <v>1668.64</v>
      </c>
      <c r="J26" s="6" t="n">
        <v>1214.53</v>
      </c>
      <c r="K26" s="6" t="n">
        <v>14</v>
      </c>
      <c r="L26" s="6" t="n">
        <v>0</v>
      </c>
      <c r="M26" s="6"/>
      <c r="N26" s="6"/>
      <c r="O26" s="6"/>
      <c r="P26" s="6" t="n">
        <v>-1.51</v>
      </c>
      <c r="Q26" s="6" t="n">
        <v>0.936978297161937</v>
      </c>
      <c r="R26" s="6" t="s">
        <v>54</v>
      </c>
    </row>
    <row r="27" customFormat="false" ht="15" hidden="false" customHeight="false" outlineLevel="0" collapsed="false">
      <c r="A27" s="5" t="n">
        <v>46182</v>
      </c>
      <c r="B27" s="6" t="s">
        <v>50</v>
      </c>
      <c r="C27" s="6" t="s">
        <v>35</v>
      </c>
      <c r="D27" s="6" t="n">
        <v>1</v>
      </c>
      <c r="E27" s="6"/>
      <c r="F27" s="6" t="n">
        <v>110</v>
      </c>
      <c r="G27" s="6" t="n">
        <v>1.93</v>
      </c>
      <c r="H27" s="6" t="n">
        <v>1.63</v>
      </c>
      <c r="I27" s="6" t="n">
        <v>136.37</v>
      </c>
      <c r="J27" s="6" t="n">
        <v>97.4</v>
      </c>
      <c r="K27" s="6"/>
      <c r="L27" s="6" t="n">
        <v>0</v>
      </c>
      <c r="M27" s="6"/>
      <c r="N27" s="6"/>
      <c r="O27" s="6"/>
      <c r="P27" s="6" t="n">
        <v>-0.3</v>
      </c>
      <c r="Q27" s="6" t="n">
        <v>0.844559585492228</v>
      </c>
      <c r="R27" s="6" t="s">
        <v>54</v>
      </c>
    </row>
    <row r="28" customFormat="false" ht="15" hidden="false" customHeight="false" outlineLevel="0" collapsed="false">
      <c r="A28" s="5" t="n">
        <v>46182</v>
      </c>
      <c r="B28" s="6" t="s">
        <v>50</v>
      </c>
      <c r="C28" s="6" t="s">
        <v>35</v>
      </c>
      <c r="D28" s="6" t="n">
        <v>2</v>
      </c>
      <c r="E28" s="6"/>
      <c r="F28" s="6" t="n">
        <v>110</v>
      </c>
      <c r="G28" s="6" t="n">
        <v>1.93</v>
      </c>
      <c r="H28" s="6" t="n">
        <v>1.74</v>
      </c>
      <c r="I28" s="6" t="n">
        <v>136.37</v>
      </c>
      <c r="J28" s="6" t="n">
        <v>101.28</v>
      </c>
      <c r="K28" s="6"/>
      <c r="L28" s="6" t="n">
        <v>0</v>
      </c>
      <c r="M28" s="6"/>
      <c r="N28" s="6"/>
      <c r="O28" s="6"/>
      <c r="P28" s="6" t="n">
        <v>-0.19</v>
      </c>
      <c r="Q28" s="6" t="n">
        <v>0.901554404145078</v>
      </c>
      <c r="R28" s="6" t="s">
        <v>54</v>
      </c>
    </row>
    <row r="29" customFormat="false" ht="15" hidden="false" customHeight="false" outlineLevel="0" collapsed="false">
      <c r="A29" s="5" t="n">
        <v>46182</v>
      </c>
      <c r="B29" s="6" t="s">
        <v>50</v>
      </c>
      <c r="C29" s="6" t="s">
        <v>35</v>
      </c>
      <c r="D29" s="6" t="n">
        <v>3</v>
      </c>
      <c r="E29" s="6"/>
      <c r="F29" s="6" t="n">
        <v>210</v>
      </c>
      <c r="G29" s="6" t="n">
        <v>3.9</v>
      </c>
      <c r="H29" s="6" t="n">
        <v>3.72</v>
      </c>
      <c r="I29" s="6" t="n">
        <v>276.1</v>
      </c>
      <c r="J29" s="6" t="n">
        <v>218.68</v>
      </c>
      <c r="K29" s="6"/>
      <c r="L29" s="6" t="n">
        <v>0</v>
      </c>
      <c r="M29" s="6"/>
      <c r="N29" s="6"/>
      <c r="O29" s="6"/>
      <c r="P29" s="6" t="n">
        <v>-0.18</v>
      </c>
      <c r="Q29" s="6" t="n">
        <v>0.953846153846154</v>
      </c>
      <c r="R29" s="6" t="s">
        <v>54</v>
      </c>
    </row>
    <row r="30" customFormat="false" ht="15" hidden="false" customHeight="false" outlineLevel="0" collapsed="false">
      <c r="A30" s="5" t="n">
        <v>46182</v>
      </c>
      <c r="B30" s="6" t="s">
        <v>50</v>
      </c>
      <c r="C30" s="6" t="s">
        <v>35</v>
      </c>
      <c r="D30" s="6" t="n">
        <v>4</v>
      </c>
      <c r="E30" s="6"/>
      <c r="F30" s="6" t="n">
        <v>210</v>
      </c>
      <c r="G30" s="6" t="n">
        <v>4</v>
      </c>
      <c r="H30" s="6" t="n">
        <v>3.81</v>
      </c>
      <c r="I30" s="6" t="n">
        <v>274</v>
      </c>
      <c r="J30" s="6" t="n">
        <v>76.05</v>
      </c>
      <c r="K30" s="6"/>
      <c r="L30" s="6" t="n">
        <v>0</v>
      </c>
      <c r="M30" s="6"/>
      <c r="N30" s="6"/>
      <c r="O30" s="6"/>
      <c r="P30" s="6" t="n">
        <v>-0.19</v>
      </c>
      <c r="Q30" s="6" t="n">
        <v>0.9525</v>
      </c>
      <c r="R30" s="6" t="s">
        <v>54</v>
      </c>
    </row>
    <row r="31" customFormat="false" ht="15" hidden="false" customHeight="false" outlineLevel="0" collapsed="false">
      <c r="A31" s="5" t="n">
        <v>46182</v>
      </c>
      <c r="B31" s="6" t="s">
        <v>50</v>
      </c>
      <c r="C31" s="6" t="s">
        <v>35</v>
      </c>
      <c r="D31" s="6" t="n">
        <v>5</v>
      </c>
      <c r="E31" s="6"/>
      <c r="F31" s="6" t="n">
        <v>210</v>
      </c>
      <c r="G31" s="6" t="n">
        <v>4</v>
      </c>
      <c r="H31" s="6" t="n">
        <v>3.89</v>
      </c>
      <c r="I31" s="6" t="n">
        <v>278</v>
      </c>
      <c r="J31" s="6" t="n">
        <v>210.27</v>
      </c>
      <c r="K31" s="6"/>
      <c r="L31" s="6" t="n">
        <v>0</v>
      </c>
      <c r="M31" s="6"/>
      <c r="N31" s="6"/>
      <c r="O31" s="6"/>
      <c r="P31" s="6" t="n">
        <v>-0.11</v>
      </c>
      <c r="Q31" s="6" t="n">
        <v>0.9725</v>
      </c>
      <c r="R31" s="6" t="s">
        <v>54</v>
      </c>
    </row>
    <row r="32" customFormat="false" ht="15" hidden="false" customHeight="false" outlineLevel="0" collapsed="false">
      <c r="A32" s="5" t="n">
        <v>46182</v>
      </c>
      <c r="B32" s="6" t="s">
        <v>50</v>
      </c>
      <c r="C32" s="6" t="s">
        <v>35</v>
      </c>
      <c r="D32" s="6" t="n">
        <v>6</v>
      </c>
      <c r="E32" s="6"/>
      <c r="F32" s="6" t="n">
        <v>195</v>
      </c>
      <c r="G32" s="6" t="n">
        <v>4.1</v>
      </c>
      <c r="H32" s="6" t="n">
        <v>3.85</v>
      </c>
      <c r="I32" s="6" t="n">
        <v>284.9</v>
      </c>
      <c r="J32" s="6" t="n">
        <v>276.34</v>
      </c>
      <c r="K32" s="6"/>
      <c r="L32" s="6" t="n">
        <v>0</v>
      </c>
      <c r="M32" s="6"/>
      <c r="N32" s="6"/>
      <c r="O32" s="6"/>
      <c r="P32" s="6" t="n">
        <v>-0.25</v>
      </c>
      <c r="Q32" s="6" t="n">
        <v>0.939024390243903</v>
      </c>
      <c r="R32" s="6" t="s">
        <v>54</v>
      </c>
    </row>
    <row r="33" customFormat="false" ht="15" hidden="false" customHeight="false" outlineLevel="0" collapsed="false">
      <c r="A33" s="5" t="n">
        <v>46182</v>
      </c>
      <c r="B33" s="6" t="s">
        <v>50</v>
      </c>
      <c r="C33" s="6" t="s">
        <v>35</v>
      </c>
      <c r="D33" s="6" t="n">
        <v>7</v>
      </c>
      <c r="E33" s="6"/>
      <c r="F33" s="6" t="n">
        <v>195</v>
      </c>
      <c r="G33" s="6" t="n">
        <v>4.1</v>
      </c>
      <c r="H33" s="6" t="n">
        <v>3.81</v>
      </c>
      <c r="I33" s="6" t="n">
        <v>282.9</v>
      </c>
      <c r="J33" s="6" t="n">
        <v>234.51</v>
      </c>
      <c r="K33" s="6"/>
      <c r="L33" s="6" t="n">
        <v>0</v>
      </c>
      <c r="M33" s="6"/>
      <c r="N33" s="6"/>
      <c r="O33" s="6"/>
      <c r="P33" s="6" t="n">
        <v>-0.29</v>
      </c>
      <c r="Q33" s="6" t="n">
        <v>0.929268292682927</v>
      </c>
      <c r="R33" s="6" t="s">
        <v>54</v>
      </c>
    </row>
    <row r="34" customFormat="false" ht="15" hidden="false" customHeight="false" outlineLevel="0" collapsed="false">
      <c r="A34" s="5" t="n">
        <v>46183</v>
      </c>
      <c r="B34" s="6" t="s">
        <v>50</v>
      </c>
      <c r="C34" s="6" t="s">
        <v>5</v>
      </c>
      <c r="D34" s="6"/>
      <c r="E34" s="6"/>
      <c r="F34" s="6" t="n">
        <v>1240</v>
      </c>
      <c r="G34" s="6" t="n">
        <v>23.96</v>
      </c>
      <c r="H34" s="6" t="n">
        <v>22.6</v>
      </c>
      <c r="I34" s="6" t="n">
        <v>1692.6</v>
      </c>
      <c r="J34" s="6" t="n">
        <v>1237.13</v>
      </c>
      <c r="K34" s="6" t="n">
        <v>14</v>
      </c>
      <c r="L34" s="6" t="n">
        <v>0</v>
      </c>
      <c r="M34" s="6"/>
      <c r="N34" s="6"/>
      <c r="O34" s="6"/>
      <c r="P34" s="6" t="n">
        <v>-1.36</v>
      </c>
      <c r="Q34" s="6" t="n">
        <v>0.943238731218698</v>
      </c>
      <c r="R34" s="6" t="s">
        <v>55</v>
      </c>
    </row>
    <row r="35" customFormat="false" ht="15" hidden="false" customHeight="false" outlineLevel="0" collapsed="false">
      <c r="A35" s="5" t="n">
        <v>46183</v>
      </c>
      <c r="B35" s="6" t="s">
        <v>50</v>
      </c>
      <c r="C35" s="6" t="s">
        <v>35</v>
      </c>
      <c r="D35" s="6" t="n">
        <v>1</v>
      </c>
      <c r="E35" s="6"/>
      <c r="F35" s="6" t="n">
        <v>110</v>
      </c>
      <c r="G35" s="6" t="n">
        <v>1.93</v>
      </c>
      <c r="H35" s="6" t="n">
        <v>1.65</v>
      </c>
      <c r="I35" s="6" t="n">
        <v>138.3</v>
      </c>
      <c r="J35" s="6" t="n">
        <v>99.05</v>
      </c>
      <c r="K35" s="6"/>
      <c r="L35" s="6" t="n">
        <v>0</v>
      </c>
      <c r="M35" s="6"/>
      <c r="N35" s="6"/>
      <c r="O35" s="6"/>
      <c r="P35" s="6" t="n">
        <v>-0.28</v>
      </c>
      <c r="Q35" s="6" t="n">
        <v>0.854922279792746</v>
      </c>
      <c r="R35" s="6" t="s">
        <v>55</v>
      </c>
    </row>
    <row r="36" customFormat="false" ht="15" hidden="false" customHeight="false" outlineLevel="0" collapsed="false">
      <c r="A36" s="5" t="n">
        <v>46183</v>
      </c>
      <c r="B36" s="6" t="s">
        <v>50</v>
      </c>
      <c r="C36" s="6" t="s">
        <v>35</v>
      </c>
      <c r="D36" s="6" t="n">
        <v>2</v>
      </c>
      <c r="E36" s="6"/>
      <c r="F36" s="6" t="n">
        <v>110</v>
      </c>
      <c r="G36" s="6" t="n">
        <v>1.93</v>
      </c>
      <c r="H36" s="6" t="n">
        <v>1.71</v>
      </c>
      <c r="I36" s="6" t="n">
        <v>138.3</v>
      </c>
      <c r="J36" s="6" t="n">
        <v>102.99</v>
      </c>
      <c r="K36" s="6"/>
      <c r="L36" s="6" t="n">
        <v>0</v>
      </c>
      <c r="M36" s="6"/>
      <c r="N36" s="6"/>
      <c r="O36" s="6"/>
      <c r="P36" s="6" t="n">
        <v>-0.22</v>
      </c>
      <c r="Q36" s="6" t="n">
        <v>0.886010362694301</v>
      </c>
      <c r="R36" s="6" t="s">
        <v>55</v>
      </c>
    </row>
    <row r="37" customFormat="false" ht="15" hidden="false" customHeight="false" outlineLevel="0" collapsed="false">
      <c r="A37" s="5" t="n">
        <v>46183</v>
      </c>
      <c r="B37" s="6" t="s">
        <v>50</v>
      </c>
      <c r="C37" s="6" t="s">
        <v>35</v>
      </c>
      <c r="D37" s="6" t="n">
        <v>3</v>
      </c>
      <c r="E37" s="6"/>
      <c r="F37" s="6" t="n">
        <v>210</v>
      </c>
      <c r="G37" s="6" t="n">
        <v>3.9</v>
      </c>
      <c r="H37" s="6" t="n">
        <v>3.74</v>
      </c>
      <c r="I37" s="6" t="n">
        <v>280</v>
      </c>
      <c r="J37" s="6" t="n">
        <v>222.42</v>
      </c>
      <c r="K37" s="6"/>
      <c r="L37" s="6" t="n">
        <v>0</v>
      </c>
      <c r="M37" s="6"/>
      <c r="N37" s="6"/>
      <c r="O37" s="6"/>
      <c r="P37" s="6" t="n">
        <v>-0.16</v>
      </c>
      <c r="Q37" s="6" t="n">
        <v>0.958974358974359</v>
      </c>
      <c r="R37" s="6" t="s">
        <v>55</v>
      </c>
    </row>
    <row r="38" customFormat="false" ht="15" hidden="false" customHeight="false" outlineLevel="0" collapsed="false">
      <c r="A38" s="5" t="n">
        <v>46183</v>
      </c>
      <c r="B38" s="6" t="s">
        <v>50</v>
      </c>
      <c r="C38" s="6" t="s">
        <v>35</v>
      </c>
      <c r="D38" s="6" t="n">
        <v>4</v>
      </c>
      <c r="E38" s="6"/>
      <c r="F38" s="6" t="n">
        <v>210</v>
      </c>
      <c r="G38" s="6" t="n">
        <v>4</v>
      </c>
      <c r="H38" s="6" t="n">
        <v>3.69</v>
      </c>
      <c r="I38" s="6" t="n">
        <v>278</v>
      </c>
      <c r="J38" s="6" t="n">
        <v>79.74</v>
      </c>
      <c r="K38" s="6"/>
      <c r="L38" s="6" t="n">
        <v>0</v>
      </c>
      <c r="M38" s="6"/>
      <c r="N38" s="6"/>
      <c r="O38" s="6"/>
      <c r="P38" s="6" t="n">
        <v>-0.31</v>
      </c>
      <c r="Q38" s="6" t="n">
        <v>0.9225</v>
      </c>
      <c r="R38" s="6" t="s">
        <v>55</v>
      </c>
    </row>
    <row r="39" customFormat="false" ht="15" hidden="false" customHeight="false" outlineLevel="0" collapsed="false">
      <c r="A39" s="5" t="n">
        <v>46183</v>
      </c>
      <c r="B39" s="6" t="s">
        <v>50</v>
      </c>
      <c r="C39" s="6" t="s">
        <v>35</v>
      </c>
      <c r="D39" s="6" t="n">
        <v>5</v>
      </c>
      <c r="E39" s="6"/>
      <c r="F39" s="6" t="n">
        <v>210</v>
      </c>
      <c r="G39" s="6" t="n">
        <v>4</v>
      </c>
      <c r="H39" s="6" t="n">
        <v>3.95</v>
      </c>
      <c r="I39" s="6" t="n">
        <v>282</v>
      </c>
      <c r="J39" s="6" t="n">
        <v>214.22</v>
      </c>
      <c r="K39" s="6"/>
      <c r="L39" s="6" t="n">
        <v>0</v>
      </c>
      <c r="M39" s="6"/>
      <c r="N39" s="6"/>
      <c r="O39" s="6"/>
      <c r="P39" s="6" t="n">
        <v>-0.0499999999999998</v>
      </c>
      <c r="Q39" s="6" t="n">
        <v>0.9875</v>
      </c>
      <c r="R39" s="6" t="s">
        <v>55</v>
      </c>
    </row>
    <row r="40" customFormat="false" ht="15" hidden="false" customHeight="false" outlineLevel="0" collapsed="false">
      <c r="A40" s="5" t="n">
        <v>46183</v>
      </c>
      <c r="B40" s="6" t="s">
        <v>50</v>
      </c>
      <c r="C40" s="6" t="s">
        <v>35</v>
      </c>
      <c r="D40" s="6" t="n">
        <v>6</v>
      </c>
      <c r="E40" s="6"/>
      <c r="F40" s="6" t="n">
        <v>195</v>
      </c>
      <c r="G40" s="6" t="n">
        <v>4.1</v>
      </c>
      <c r="H40" s="6" t="n">
        <v>3.85</v>
      </c>
      <c r="I40" s="6" t="n">
        <v>289</v>
      </c>
      <c r="J40" s="6" t="n">
        <v>280.19</v>
      </c>
      <c r="K40" s="6"/>
      <c r="L40" s="6" t="n">
        <v>0</v>
      </c>
      <c r="M40" s="6"/>
      <c r="N40" s="6"/>
      <c r="O40" s="6"/>
      <c r="P40" s="6" t="n">
        <v>-0.25</v>
      </c>
      <c r="Q40" s="6" t="n">
        <v>0.939024390243903</v>
      </c>
      <c r="R40" s="6" t="s">
        <v>55</v>
      </c>
    </row>
    <row r="41" customFormat="false" ht="15" hidden="false" customHeight="false" outlineLevel="0" collapsed="false">
      <c r="A41" s="5" t="n">
        <v>46183</v>
      </c>
      <c r="B41" s="6" t="s">
        <v>50</v>
      </c>
      <c r="C41" s="6" t="s">
        <v>35</v>
      </c>
      <c r="D41" s="6" t="n">
        <v>7</v>
      </c>
      <c r="E41" s="6"/>
      <c r="F41" s="6" t="n">
        <v>195</v>
      </c>
      <c r="G41" s="6" t="n">
        <v>4.1</v>
      </c>
      <c r="H41" s="6" t="n">
        <v>4.01</v>
      </c>
      <c r="I41" s="6" t="n">
        <v>287</v>
      </c>
      <c r="J41" s="6" t="n">
        <v>238.52</v>
      </c>
      <c r="K41" s="6"/>
      <c r="L41" s="6" t="n">
        <v>0</v>
      </c>
      <c r="M41" s="6"/>
      <c r="N41" s="6"/>
      <c r="O41" s="6"/>
      <c r="P41" s="6" t="n">
        <v>-0.0899999999999999</v>
      </c>
      <c r="Q41" s="6" t="n">
        <v>0.978048780487805</v>
      </c>
      <c r="R41" s="6" t="s">
        <v>55</v>
      </c>
    </row>
    <row r="42" customFormat="false" ht="15" hidden="false" customHeight="false" outlineLevel="0" collapsed="false">
      <c r="A42" s="5" t="n">
        <v>46184</v>
      </c>
      <c r="B42" s="6" t="s">
        <v>50</v>
      </c>
      <c r="C42" s="6" t="s">
        <v>5</v>
      </c>
      <c r="D42" s="6"/>
      <c r="E42" s="6"/>
      <c r="F42" s="6" t="n">
        <v>1240</v>
      </c>
      <c r="G42" s="6" t="n">
        <v>23.96</v>
      </c>
      <c r="H42" s="6" t="n">
        <v>22.28</v>
      </c>
      <c r="I42" s="6" t="n">
        <v>1716.56</v>
      </c>
      <c r="J42" s="6" t="n">
        <v>1259.41</v>
      </c>
      <c r="K42" s="6" t="n">
        <v>14</v>
      </c>
      <c r="L42" s="6" t="n">
        <v>0</v>
      </c>
      <c r="M42" s="6"/>
      <c r="N42" s="6"/>
      <c r="O42" s="6"/>
      <c r="P42" s="6" t="n">
        <v>-1.68</v>
      </c>
      <c r="Q42" s="6" t="n">
        <v>0.929883138564274</v>
      </c>
      <c r="R42" s="6" t="s">
        <v>56</v>
      </c>
    </row>
    <row r="43" customFormat="false" ht="15" hidden="false" customHeight="false" outlineLevel="0" collapsed="false">
      <c r="A43" s="5" t="n">
        <v>46184</v>
      </c>
      <c r="B43" s="6" t="s">
        <v>50</v>
      </c>
      <c r="C43" s="6" t="s">
        <v>35</v>
      </c>
      <c r="D43" s="6" t="n">
        <v>1</v>
      </c>
      <c r="E43" s="6"/>
      <c r="F43" s="6" t="n">
        <v>110</v>
      </c>
      <c r="G43" s="6" t="n">
        <v>1.93</v>
      </c>
      <c r="H43" s="6" t="n">
        <v>1.65</v>
      </c>
      <c r="I43" s="6" t="n">
        <v>140.23</v>
      </c>
      <c r="J43" s="6" t="n">
        <v>100.7</v>
      </c>
      <c r="K43" s="6"/>
      <c r="L43" s="6" t="n">
        <v>0</v>
      </c>
      <c r="M43" s="6"/>
      <c r="N43" s="6"/>
      <c r="O43" s="6"/>
      <c r="P43" s="6" t="n">
        <v>-0.28</v>
      </c>
      <c r="Q43" s="6" t="n">
        <v>0.854922279792746</v>
      </c>
      <c r="R43" s="6" t="s">
        <v>56</v>
      </c>
    </row>
    <row r="44" customFormat="false" ht="15" hidden="false" customHeight="false" outlineLevel="0" collapsed="false">
      <c r="A44" s="5" t="n">
        <v>46184</v>
      </c>
      <c r="B44" s="6" t="s">
        <v>50</v>
      </c>
      <c r="C44" s="6" t="s">
        <v>35</v>
      </c>
      <c r="D44" s="6" t="n">
        <v>2</v>
      </c>
      <c r="E44" s="6"/>
      <c r="F44" s="6" t="n">
        <v>110</v>
      </c>
      <c r="G44" s="6" t="n">
        <v>1.93</v>
      </c>
      <c r="H44" s="6" t="n">
        <v>1.7</v>
      </c>
      <c r="I44" s="6" t="n">
        <v>140.23</v>
      </c>
      <c r="J44" s="6" t="n">
        <v>104.69</v>
      </c>
      <c r="K44" s="6"/>
      <c r="L44" s="6" t="n">
        <v>0</v>
      </c>
      <c r="M44" s="6"/>
      <c r="N44" s="6"/>
      <c r="O44" s="6"/>
      <c r="P44" s="6" t="n">
        <v>-0.23</v>
      </c>
      <c r="Q44" s="6" t="n">
        <v>0.880829015544042</v>
      </c>
      <c r="R44" s="6" t="s">
        <v>56</v>
      </c>
    </row>
    <row r="45" customFormat="false" ht="15" hidden="false" customHeight="false" outlineLevel="0" collapsed="false">
      <c r="A45" s="5" t="n">
        <v>46184</v>
      </c>
      <c r="B45" s="6" t="s">
        <v>50</v>
      </c>
      <c r="C45" s="6" t="s">
        <v>35</v>
      </c>
      <c r="D45" s="6" t="n">
        <v>3</v>
      </c>
      <c r="E45" s="6"/>
      <c r="F45" s="6" t="n">
        <v>210</v>
      </c>
      <c r="G45" s="6" t="n">
        <v>3.9</v>
      </c>
      <c r="H45" s="6" t="n">
        <v>3.7</v>
      </c>
      <c r="I45" s="6" t="n">
        <v>283.9</v>
      </c>
      <c r="J45" s="6" t="n">
        <v>226.12</v>
      </c>
      <c r="K45" s="6"/>
      <c r="L45" s="6" t="n">
        <v>0</v>
      </c>
      <c r="M45" s="6"/>
      <c r="N45" s="6"/>
      <c r="O45" s="6"/>
      <c r="P45" s="6" t="n">
        <v>-0.2</v>
      </c>
      <c r="Q45" s="6" t="n">
        <v>0.948717948717949</v>
      </c>
      <c r="R45" s="6" t="s">
        <v>56</v>
      </c>
    </row>
    <row r="46" customFormat="false" ht="15" hidden="false" customHeight="false" outlineLevel="0" collapsed="false">
      <c r="A46" s="5" t="n">
        <v>46184</v>
      </c>
      <c r="B46" s="6" t="s">
        <v>50</v>
      </c>
      <c r="C46" s="6" t="s">
        <v>35</v>
      </c>
      <c r="D46" s="6" t="n">
        <v>4</v>
      </c>
      <c r="E46" s="6"/>
      <c r="F46" s="6" t="n">
        <v>210</v>
      </c>
      <c r="G46" s="6" t="n">
        <v>4</v>
      </c>
      <c r="H46" s="6" t="n">
        <v>3.38</v>
      </c>
      <c r="I46" s="6" t="n">
        <v>282</v>
      </c>
      <c r="J46" s="6" t="n">
        <v>83.12</v>
      </c>
      <c r="K46" s="6"/>
      <c r="L46" s="6" t="n">
        <v>0</v>
      </c>
      <c r="M46" s="6"/>
      <c r="N46" s="6"/>
      <c r="O46" s="6"/>
      <c r="P46" s="6" t="n">
        <v>-0.62</v>
      </c>
      <c r="Q46" s="6" t="n">
        <v>0.845</v>
      </c>
      <c r="R46" s="6" t="s">
        <v>56</v>
      </c>
    </row>
    <row r="47" customFormat="false" ht="15" hidden="false" customHeight="false" outlineLevel="0" collapsed="false">
      <c r="A47" s="5" t="n">
        <v>46184</v>
      </c>
      <c r="B47" s="6" t="s">
        <v>50</v>
      </c>
      <c r="C47" s="6" t="s">
        <v>35</v>
      </c>
      <c r="D47" s="6" t="n">
        <v>5</v>
      </c>
      <c r="E47" s="6"/>
      <c r="F47" s="6" t="n">
        <v>210</v>
      </c>
      <c r="G47" s="6" t="n">
        <v>4</v>
      </c>
      <c r="H47" s="6" t="n">
        <v>3.99</v>
      </c>
      <c r="I47" s="6" t="n">
        <v>286</v>
      </c>
      <c r="J47" s="6" t="n">
        <v>218.21</v>
      </c>
      <c r="K47" s="6"/>
      <c r="L47" s="6" t="n">
        <v>0</v>
      </c>
      <c r="M47" s="6"/>
      <c r="N47" s="6"/>
      <c r="O47" s="6"/>
      <c r="P47" s="6" t="n">
        <v>-0.00999999999999979</v>
      </c>
      <c r="Q47" s="6" t="n">
        <v>0.9975</v>
      </c>
      <c r="R47" s="6" t="s">
        <v>56</v>
      </c>
    </row>
    <row r="48" customFormat="false" ht="15" hidden="false" customHeight="false" outlineLevel="0" collapsed="false">
      <c r="A48" s="5" t="n">
        <v>46184</v>
      </c>
      <c r="B48" s="6" t="s">
        <v>50</v>
      </c>
      <c r="C48" s="6" t="s">
        <v>35</v>
      </c>
      <c r="D48" s="6" t="n">
        <v>6</v>
      </c>
      <c r="E48" s="6"/>
      <c r="F48" s="6" t="n">
        <v>195</v>
      </c>
      <c r="G48" s="6" t="n">
        <v>4.1</v>
      </c>
      <c r="H48" s="6" t="n">
        <v>3.84</v>
      </c>
      <c r="I48" s="6" t="n">
        <v>293.1</v>
      </c>
      <c r="J48" s="6" t="n">
        <v>284.03</v>
      </c>
      <c r="K48" s="6"/>
      <c r="L48" s="6" t="n">
        <v>0</v>
      </c>
      <c r="M48" s="6"/>
      <c r="N48" s="6"/>
      <c r="O48" s="6"/>
      <c r="P48" s="6" t="n">
        <v>-0.26</v>
      </c>
      <c r="Q48" s="6" t="n">
        <v>0.936585365853659</v>
      </c>
      <c r="R48" s="6" t="s">
        <v>56</v>
      </c>
    </row>
    <row r="49" customFormat="false" ht="15" hidden="false" customHeight="false" outlineLevel="0" collapsed="false">
      <c r="A49" s="5" t="n">
        <v>46184</v>
      </c>
      <c r="B49" s="6" t="s">
        <v>50</v>
      </c>
      <c r="C49" s="6" t="s">
        <v>35</v>
      </c>
      <c r="D49" s="6" t="n">
        <v>7</v>
      </c>
      <c r="E49" s="6"/>
      <c r="F49" s="6" t="n">
        <v>195</v>
      </c>
      <c r="G49" s="6" t="n">
        <v>4.1</v>
      </c>
      <c r="H49" s="6" t="n">
        <v>4.02</v>
      </c>
      <c r="I49" s="6" t="n">
        <v>291.1</v>
      </c>
      <c r="J49" s="6" t="n">
        <v>242.54</v>
      </c>
      <c r="K49" s="6"/>
      <c r="L49" s="6" t="n">
        <v>0</v>
      </c>
      <c r="M49" s="6"/>
      <c r="N49" s="6"/>
      <c r="O49" s="6"/>
      <c r="P49" s="6" t="n">
        <v>-0.0800000000000001</v>
      </c>
      <c r="Q49" s="6" t="n">
        <v>0.980487804878049</v>
      </c>
      <c r="R49" s="6" t="s">
        <v>56</v>
      </c>
    </row>
    <row r="50" customFormat="false" ht="15" hidden="false" customHeight="false" outlineLevel="0" collapsed="false">
      <c r="A50" s="5" t="n">
        <v>46185</v>
      </c>
      <c r="B50" s="6" t="s">
        <v>50</v>
      </c>
      <c r="C50" s="6" t="s">
        <v>5</v>
      </c>
      <c r="D50" s="6"/>
      <c r="E50" s="6"/>
      <c r="F50" s="6" t="n">
        <v>1240</v>
      </c>
      <c r="G50" s="6" t="n">
        <v>23.96</v>
      </c>
      <c r="H50" s="6" t="n">
        <v>21.58</v>
      </c>
      <c r="I50" s="6" t="n">
        <v>1740.52</v>
      </c>
      <c r="J50" s="6" t="n">
        <v>1280.99</v>
      </c>
      <c r="K50" s="6" t="n">
        <v>14</v>
      </c>
      <c r="L50" s="6" t="n">
        <v>0</v>
      </c>
      <c r="M50" s="6"/>
      <c r="N50" s="6"/>
      <c r="O50" s="6"/>
      <c r="P50" s="6" t="n">
        <v>-2.38</v>
      </c>
      <c r="Q50" s="6" t="n">
        <v>0.900667779632721</v>
      </c>
      <c r="R50" s="6" t="s">
        <v>57</v>
      </c>
    </row>
    <row r="51" customFormat="false" ht="15" hidden="false" customHeight="false" outlineLevel="0" collapsed="false">
      <c r="A51" s="5" t="n">
        <v>46185</v>
      </c>
      <c r="B51" s="6" t="s">
        <v>50</v>
      </c>
      <c r="C51" s="6" t="s">
        <v>35</v>
      </c>
      <c r="D51" s="6" t="n">
        <v>1</v>
      </c>
      <c r="E51" s="6"/>
      <c r="F51" s="6" t="n">
        <v>110</v>
      </c>
      <c r="G51" s="6" t="n">
        <v>1.93</v>
      </c>
      <c r="H51" s="6" t="n">
        <v>1.56</v>
      </c>
      <c r="I51" s="6" t="n">
        <v>142.16</v>
      </c>
      <c r="J51" s="6" t="n">
        <v>102.26</v>
      </c>
      <c r="K51" s="6"/>
      <c r="L51" s="6" t="n">
        <v>0</v>
      </c>
      <c r="M51" s="6"/>
      <c r="N51" s="6"/>
      <c r="O51" s="6"/>
      <c r="P51" s="6" t="n">
        <v>-0.37</v>
      </c>
      <c r="Q51" s="6" t="n">
        <v>0.808290155440415</v>
      </c>
      <c r="R51" s="6" t="s">
        <v>57</v>
      </c>
    </row>
    <row r="52" customFormat="false" ht="15" hidden="false" customHeight="false" outlineLevel="0" collapsed="false">
      <c r="A52" s="5" t="n">
        <v>46185</v>
      </c>
      <c r="B52" s="6" t="s">
        <v>50</v>
      </c>
      <c r="C52" s="6" t="s">
        <v>35</v>
      </c>
      <c r="D52" s="6" t="n">
        <v>2</v>
      </c>
      <c r="E52" s="6"/>
      <c r="F52" s="6" t="n">
        <v>110</v>
      </c>
      <c r="G52" s="6" t="n">
        <v>1.93</v>
      </c>
      <c r="H52" s="6" t="n">
        <v>1.59</v>
      </c>
      <c r="I52" s="6" t="n">
        <v>142.16</v>
      </c>
      <c r="J52" s="6" t="n">
        <v>106.28</v>
      </c>
      <c r="K52" s="6"/>
      <c r="L52" s="6" t="n">
        <v>0</v>
      </c>
      <c r="M52" s="6"/>
      <c r="N52" s="6"/>
      <c r="O52" s="6"/>
      <c r="P52" s="6" t="n">
        <v>-0.34</v>
      </c>
      <c r="Q52" s="6" t="n">
        <v>0.823834196891192</v>
      </c>
      <c r="R52" s="6" t="s">
        <v>57</v>
      </c>
    </row>
    <row r="53" customFormat="false" ht="15" hidden="false" customHeight="false" outlineLevel="0" collapsed="false">
      <c r="A53" s="5" t="n">
        <v>46185</v>
      </c>
      <c r="B53" s="6" t="s">
        <v>50</v>
      </c>
      <c r="C53" s="6" t="s">
        <v>35</v>
      </c>
      <c r="D53" s="6" t="n">
        <v>3</v>
      </c>
      <c r="E53" s="6"/>
      <c r="F53" s="6" t="n">
        <v>210</v>
      </c>
      <c r="G53" s="6" t="n">
        <v>3.9</v>
      </c>
      <c r="H53" s="6" t="n">
        <v>3.56</v>
      </c>
      <c r="I53" s="6" t="n">
        <v>287.8</v>
      </c>
      <c r="J53" s="6" t="n">
        <v>229.68</v>
      </c>
      <c r="K53" s="6"/>
      <c r="L53" s="6" t="n">
        <v>0</v>
      </c>
      <c r="M53" s="6"/>
      <c r="N53" s="6"/>
      <c r="O53" s="6"/>
      <c r="P53" s="6" t="n">
        <v>-0.34</v>
      </c>
      <c r="Q53" s="6" t="n">
        <v>0.912820512820513</v>
      </c>
      <c r="R53" s="6" t="s">
        <v>57</v>
      </c>
    </row>
    <row r="54" customFormat="false" ht="15" hidden="false" customHeight="false" outlineLevel="0" collapsed="false">
      <c r="A54" s="5" t="n">
        <v>46185</v>
      </c>
      <c r="B54" s="6" t="s">
        <v>50</v>
      </c>
      <c r="C54" s="6" t="s">
        <v>35</v>
      </c>
      <c r="D54" s="6" t="n">
        <v>4</v>
      </c>
      <c r="E54" s="6"/>
      <c r="F54" s="6" t="n">
        <v>210</v>
      </c>
      <c r="G54" s="6" t="n">
        <v>4</v>
      </c>
      <c r="H54" s="6" t="n">
        <v>3.38</v>
      </c>
      <c r="I54" s="6" t="n">
        <v>286</v>
      </c>
      <c r="J54" s="6" t="n">
        <v>86.5</v>
      </c>
      <c r="K54" s="6"/>
      <c r="L54" s="6" t="n">
        <v>0</v>
      </c>
      <c r="M54" s="6"/>
      <c r="N54" s="6"/>
      <c r="O54" s="6"/>
      <c r="P54" s="6" t="n">
        <v>-0.62</v>
      </c>
      <c r="Q54" s="6" t="n">
        <v>0.845</v>
      </c>
      <c r="R54" s="6" t="s">
        <v>57</v>
      </c>
    </row>
    <row r="55" customFormat="false" ht="15" hidden="false" customHeight="false" outlineLevel="0" collapsed="false">
      <c r="A55" s="5" t="n">
        <v>46185</v>
      </c>
      <c r="B55" s="6" t="s">
        <v>50</v>
      </c>
      <c r="C55" s="6" t="s">
        <v>35</v>
      </c>
      <c r="D55" s="6" t="n">
        <v>5</v>
      </c>
      <c r="E55" s="6"/>
      <c r="F55" s="6" t="n">
        <v>210</v>
      </c>
      <c r="G55" s="6" t="n">
        <v>4</v>
      </c>
      <c r="H55" s="6" t="n">
        <v>3.83</v>
      </c>
      <c r="I55" s="6" t="n">
        <v>290</v>
      </c>
      <c r="J55" s="6" t="n">
        <v>222.04</v>
      </c>
      <c r="K55" s="6"/>
      <c r="L55" s="6" t="n">
        <v>0</v>
      </c>
      <c r="M55" s="6"/>
      <c r="N55" s="6"/>
      <c r="O55" s="6"/>
      <c r="P55" s="6" t="n">
        <v>-0.17</v>
      </c>
      <c r="Q55" s="6" t="n">
        <v>0.9575</v>
      </c>
      <c r="R55" s="6" t="s">
        <v>57</v>
      </c>
    </row>
    <row r="56" customFormat="false" ht="15" hidden="false" customHeight="false" outlineLevel="0" collapsed="false">
      <c r="A56" s="5" t="n">
        <v>46185</v>
      </c>
      <c r="B56" s="6" t="s">
        <v>50</v>
      </c>
      <c r="C56" s="6" t="s">
        <v>35</v>
      </c>
      <c r="D56" s="6" t="n">
        <v>6</v>
      </c>
      <c r="E56" s="6"/>
      <c r="F56" s="6" t="n">
        <v>195</v>
      </c>
      <c r="G56" s="6" t="n">
        <v>4.1</v>
      </c>
      <c r="H56" s="6" t="n">
        <v>3.84</v>
      </c>
      <c r="I56" s="6" t="n">
        <v>297.2</v>
      </c>
      <c r="J56" s="6" t="n">
        <v>287.87</v>
      </c>
      <c r="K56" s="6"/>
      <c r="L56" s="6" t="n">
        <v>0</v>
      </c>
      <c r="M56" s="6"/>
      <c r="N56" s="6"/>
      <c r="O56" s="6"/>
      <c r="P56" s="6" t="n">
        <v>-0.26</v>
      </c>
      <c r="Q56" s="6" t="n">
        <v>0.936585365853659</v>
      </c>
      <c r="R56" s="6" t="s">
        <v>57</v>
      </c>
    </row>
    <row r="57" customFormat="false" ht="15" hidden="false" customHeight="false" outlineLevel="0" collapsed="false">
      <c r="A57" s="5" t="n">
        <v>46185</v>
      </c>
      <c r="B57" s="6" t="s">
        <v>50</v>
      </c>
      <c r="C57" s="6" t="s">
        <v>35</v>
      </c>
      <c r="D57" s="6" t="n">
        <v>7</v>
      </c>
      <c r="E57" s="6"/>
      <c r="F57" s="6" t="n">
        <v>195</v>
      </c>
      <c r="G57" s="6" t="n">
        <v>4.1</v>
      </c>
      <c r="H57" s="6" t="n">
        <v>3.82</v>
      </c>
      <c r="I57" s="6" t="n">
        <v>295.2</v>
      </c>
      <c r="J57" s="6" t="n">
        <v>246.36</v>
      </c>
      <c r="K57" s="6"/>
      <c r="L57" s="6" t="n">
        <v>0</v>
      </c>
      <c r="M57" s="6"/>
      <c r="N57" s="6"/>
      <c r="O57" s="6"/>
      <c r="P57" s="6" t="n">
        <v>-0.28</v>
      </c>
      <c r="Q57" s="6" t="n">
        <v>0.931707317073171</v>
      </c>
      <c r="R57" s="6" t="s">
        <v>57</v>
      </c>
    </row>
    <row r="58" customFormat="false" ht="15" hidden="false" customHeight="false" outlineLevel="0" collapsed="false">
      <c r="A58" s="5" t="n">
        <v>46186</v>
      </c>
      <c r="B58" s="6" t="s">
        <v>50</v>
      </c>
      <c r="C58" s="6" t="s">
        <v>5</v>
      </c>
      <c r="D58" s="6"/>
      <c r="E58" s="6"/>
      <c r="F58" s="6" t="n">
        <v>1240</v>
      </c>
      <c r="G58" s="6" t="n">
        <v>23.96</v>
      </c>
      <c r="H58" s="6" t="n">
        <v>21.74</v>
      </c>
      <c r="I58" s="6" t="n">
        <v>1764.48</v>
      </c>
      <c r="J58" s="6" t="n">
        <v>1302.73</v>
      </c>
      <c r="K58" s="6" t="n">
        <v>14</v>
      </c>
      <c r="L58" s="6" t="n">
        <v>0</v>
      </c>
      <c r="M58" s="6"/>
      <c r="N58" s="6"/>
      <c r="O58" s="6"/>
      <c r="P58" s="6" t="n">
        <v>-2.22</v>
      </c>
      <c r="Q58" s="6" t="n">
        <v>0.907345575959933</v>
      </c>
      <c r="R58" s="6" t="s">
        <v>58</v>
      </c>
    </row>
    <row r="59" customFormat="false" ht="15" hidden="false" customHeight="false" outlineLevel="0" collapsed="false">
      <c r="A59" s="5" t="n">
        <v>46186</v>
      </c>
      <c r="B59" s="6" t="s">
        <v>50</v>
      </c>
      <c r="C59" s="6" t="s">
        <v>35</v>
      </c>
      <c r="D59" s="6" t="n">
        <v>1</v>
      </c>
      <c r="E59" s="6"/>
      <c r="F59" s="6" t="n">
        <v>110</v>
      </c>
      <c r="G59" s="6" t="n">
        <v>1.93</v>
      </c>
      <c r="H59" s="6" t="n">
        <v>1.57</v>
      </c>
      <c r="I59" s="6" t="n">
        <v>144.09</v>
      </c>
      <c r="J59" s="6" t="n">
        <v>103.83</v>
      </c>
      <c r="K59" s="6"/>
      <c r="L59" s="6" t="n">
        <v>0</v>
      </c>
      <c r="M59" s="6"/>
      <c r="N59" s="6"/>
      <c r="O59" s="6"/>
      <c r="P59" s="6" t="n">
        <v>-0.36</v>
      </c>
      <c r="Q59" s="6" t="n">
        <v>0.813471502590674</v>
      </c>
      <c r="R59" s="6" t="s">
        <v>58</v>
      </c>
    </row>
    <row r="60" customFormat="false" ht="15" hidden="false" customHeight="false" outlineLevel="0" collapsed="false">
      <c r="A60" s="5" t="n">
        <v>46186</v>
      </c>
      <c r="B60" s="6" t="s">
        <v>50</v>
      </c>
      <c r="C60" s="6" t="s">
        <v>35</v>
      </c>
      <c r="D60" s="6" t="n">
        <v>2</v>
      </c>
      <c r="E60" s="6"/>
      <c r="F60" s="6" t="n">
        <v>110</v>
      </c>
      <c r="G60" s="6" t="n">
        <v>1.93</v>
      </c>
      <c r="H60" s="6" t="n">
        <v>1.59</v>
      </c>
      <c r="I60" s="6" t="n">
        <v>144.09</v>
      </c>
      <c r="J60" s="6" t="n">
        <v>107.87</v>
      </c>
      <c r="K60" s="6"/>
      <c r="L60" s="6" t="n">
        <v>0</v>
      </c>
      <c r="M60" s="6"/>
      <c r="N60" s="6"/>
      <c r="O60" s="6"/>
      <c r="P60" s="6" t="n">
        <v>-0.34</v>
      </c>
      <c r="Q60" s="6" t="n">
        <v>0.823834196891192</v>
      </c>
      <c r="R60" s="6" t="s">
        <v>58</v>
      </c>
    </row>
    <row r="61" customFormat="false" ht="15" hidden="false" customHeight="false" outlineLevel="0" collapsed="false">
      <c r="A61" s="5" t="n">
        <v>46186</v>
      </c>
      <c r="B61" s="6" t="s">
        <v>50</v>
      </c>
      <c r="C61" s="6" t="s">
        <v>35</v>
      </c>
      <c r="D61" s="6" t="n">
        <v>3</v>
      </c>
      <c r="E61" s="6"/>
      <c r="F61" s="6" t="n">
        <v>210</v>
      </c>
      <c r="G61" s="6" t="n">
        <v>3.9</v>
      </c>
      <c r="H61" s="6" t="n">
        <v>3.61</v>
      </c>
      <c r="I61" s="6" t="n">
        <v>291.7</v>
      </c>
      <c r="J61" s="6" t="n">
        <v>233.29</v>
      </c>
      <c r="K61" s="6"/>
      <c r="L61" s="6" t="n">
        <v>0</v>
      </c>
      <c r="M61" s="6"/>
      <c r="N61" s="6"/>
      <c r="O61" s="6"/>
      <c r="P61" s="6" t="n">
        <v>-0.29</v>
      </c>
      <c r="Q61" s="6" t="n">
        <v>0.925641025641026</v>
      </c>
      <c r="R61" s="6" t="s">
        <v>58</v>
      </c>
    </row>
    <row r="62" customFormat="false" ht="15" hidden="false" customHeight="false" outlineLevel="0" collapsed="false">
      <c r="A62" s="5" t="n">
        <v>46186</v>
      </c>
      <c r="B62" s="6" t="s">
        <v>50</v>
      </c>
      <c r="C62" s="6" t="s">
        <v>35</v>
      </c>
      <c r="D62" s="6" t="n">
        <v>4</v>
      </c>
      <c r="E62" s="6"/>
      <c r="F62" s="6" t="n">
        <v>210</v>
      </c>
      <c r="G62" s="6" t="n">
        <v>4</v>
      </c>
      <c r="H62" s="6" t="n">
        <v>3.38</v>
      </c>
      <c r="I62" s="6" t="n">
        <v>290</v>
      </c>
      <c r="J62" s="6" t="n">
        <v>89.88</v>
      </c>
      <c r="K62" s="6"/>
      <c r="L62" s="6" t="n">
        <v>0</v>
      </c>
      <c r="M62" s="6"/>
      <c r="N62" s="6"/>
      <c r="O62" s="6"/>
      <c r="P62" s="6" t="n">
        <v>-0.62</v>
      </c>
      <c r="Q62" s="6" t="n">
        <v>0.845</v>
      </c>
      <c r="R62" s="6" t="s">
        <v>58</v>
      </c>
    </row>
    <row r="63" customFormat="false" ht="15" hidden="false" customHeight="false" outlineLevel="0" collapsed="false">
      <c r="A63" s="5" t="n">
        <v>46186</v>
      </c>
      <c r="B63" s="6" t="s">
        <v>50</v>
      </c>
      <c r="C63" s="6" t="s">
        <v>35</v>
      </c>
      <c r="D63" s="6" t="n">
        <v>5</v>
      </c>
      <c r="E63" s="6"/>
      <c r="F63" s="6" t="n">
        <v>210</v>
      </c>
      <c r="G63" s="6" t="n">
        <v>4</v>
      </c>
      <c r="H63" s="6" t="n">
        <v>3.88</v>
      </c>
      <c r="I63" s="6" t="n">
        <v>294</v>
      </c>
      <c r="J63" s="6" t="n">
        <v>225.92</v>
      </c>
      <c r="K63" s="6"/>
      <c r="L63" s="6" t="n">
        <v>0</v>
      </c>
      <c r="M63" s="6"/>
      <c r="N63" s="6"/>
      <c r="O63" s="6"/>
      <c r="P63" s="6" t="n">
        <v>-0.12</v>
      </c>
      <c r="Q63" s="6" t="n">
        <v>0.97</v>
      </c>
      <c r="R63" s="6" t="s">
        <v>58</v>
      </c>
    </row>
    <row r="64" customFormat="false" ht="15" hidden="false" customHeight="false" outlineLevel="0" collapsed="false">
      <c r="A64" s="5" t="n">
        <v>46186</v>
      </c>
      <c r="B64" s="6" t="s">
        <v>50</v>
      </c>
      <c r="C64" s="6" t="s">
        <v>35</v>
      </c>
      <c r="D64" s="6" t="n">
        <v>6</v>
      </c>
      <c r="E64" s="6"/>
      <c r="F64" s="6" t="n">
        <v>195</v>
      </c>
      <c r="G64" s="6" t="n">
        <v>4.1</v>
      </c>
      <c r="H64" s="6" t="n">
        <v>3.84</v>
      </c>
      <c r="I64" s="6" t="n">
        <v>301.3</v>
      </c>
      <c r="J64" s="6" t="n">
        <v>291.71</v>
      </c>
      <c r="K64" s="6"/>
      <c r="L64" s="6" t="n">
        <v>0</v>
      </c>
      <c r="M64" s="6"/>
      <c r="N64" s="6"/>
      <c r="O64" s="6"/>
      <c r="P64" s="6" t="n">
        <v>-0.26</v>
      </c>
      <c r="Q64" s="6" t="n">
        <v>0.936585365853659</v>
      </c>
      <c r="R64" s="6" t="s">
        <v>58</v>
      </c>
    </row>
    <row r="65" customFormat="false" ht="15" hidden="false" customHeight="false" outlineLevel="0" collapsed="false">
      <c r="A65" s="5" t="n">
        <v>46186</v>
      </c>
      <c r="B65" s="6" t="s">
        <v>50</v>
      </c>
      <c r="C65" s="6" t="s">
        <v>35</v>
      </c>
      <c r="D65" s="6" t="n">
        <v>7</v>
      </c>
      <c r="E65" s="6"/>
      <c r="F65" s="6" t="n">
        <v>195</v>
      </c>
      <c r="G65" s="6" t="n">
        <v>4.1</v>
      </c>
      <c r="H65" s="6" t="n">
        <v>3.87</v>
      </c>
      <c r="I65" s="6" t="n">
        <v>299.3</v>
      </c>
      <c r="J65" s="6" t="n">
        <v>250.23</v>
      </c>
      <c r="K65" s="6"/>
      <c r="L65" s="6" t="n">
        <v>0</v>
      </c>
      <c r="M65" s="6"/>
      <c r="N65" s="6"/>
      <c r="O65" s="6"/>
      <c r="P65" s="6" t="n">
        <v>-0.23</v>
      </c>
      <c r="Q65" s="6" t="n">
        <v>0.94390243902439</v>
      </c>
      <c r="R65" s="6" t="s">
        <v>58</v>
      </c>
    </row>
    <row r="66" customFormat="false" ht="15" hidden="false" customHeight="false" outlineLevel="0" collapsed="false">
      <c r="A66" s="5" t="n">
        <v>46187</v>
      </c>
      <c r="B66" s="6" t="s">
        <v>50</v>
      </c>
      <c r="C66" s="6" t="s">
        <v>5</v>
      </c>
      <c r="D66" s="6"/>
      <c r="E66" s="6"/>
      <c r="F66" s="6" t="n">
        <v>1240</v>
      </c>
      <c r="G66" s="6" t="n">
        <v>23.96</v>
      </c>
      <c r="H66" s="6" t="n">
        <v>21.02</v>
      </c>
      <c r="I66" s="6" t="n">
        <v>1788.44</v>
      </c>
      <c r="J66" s="6" t="n">
        <v>1323.75</v>
      </c>
      <c r="K66" s="6" t="n">
        <v>13</v>
      </c>
      <c r="L66" s="6" t="n">
        <v>0</v>
      </c>
      <c r="M66" s="6"/>
      <c r="N66" s="6"/>
      <c r="O66" s="6"/>
      <c r="P66" s="6" t="n">
        <v>-2.94</v>
      </c>
      <c r="Q66" s="6" t="n">
        <v>0.877295492487479</v>
      </c>
      <c r="R66" s="6" t="s">
        <v>59</v>
      </c>
    </row>
    <row r="67" customFormat="false" ht="15" hidden="false" customHeight="false" outlineLevel="0" collapsed="false">
      <c r="A67" s="5" t="n">
        <v>46187</v>
      </c>
      <c r="B67" s="6" t="s">
        <v>50</v>
      </c>
      <c r="C67" s="6" t="s">
        <v>35</v>
      </c>
      <c r="D67" s="6" t="n">
        <v>1</v>
      </c>
      <c r="E67" s="6"/>
      <c r="F67" s="6" t="n">
        <v>110</v>
      </c>
      <c r="G67" s="6" t="n">
        <v>1.93</v>
      </c>
      <c r="H67" s="6" t="n">
        <v>1.48</v>
      </c>
      <c r="I67" s="6" t="n">
        <v>146.02</v>
      </c>
      <c r="J67" s="6" t="n">
        <v>105.31</v>
      </c>
      <c r="K67" s="6"/>
      <c r="L67" s="6" t="n">
        <v>0</v>
      </c>
      <c r="M67" s="6"/>
      <c r="N67" s="6"/>
      <c r="O67" s="6"/>
      <c r="P67" s="6" t="n">
        <v>-0.45</v>
      </c>
      <c r="Q67" s="6" t="n">
        <v>0.766839378238342</v>
      </c>
      <c r="R67" s="6" t="s">
        <v>59</v>
      </c>
    </row>
    <row r="68" customFormat="false" ht="15" hidden="false" customHeight="false" outlineLevel="0" collapsed="false">
      <c r="A68" s="5" t="n">
        <v>46187</v>
      </c>
      <c r="B68" s="6" t="s">
        <v>50</v>
      </c>
      <c r="C68" s="6" t="s">
        <v>35</v>
      </c>
      <c r="D68" s="6" t="n">
        <v>2</v>
      </c>
      <c r="E68" s="6"/>
      <c r="F68" s="6" t="n">
        <v>110</v>
      </c>
      <c r="G68" s="6" t="n">
        <v>1.93</v>
      </c>
      <c r="H68" s="6" t="n">
        <v>1.48</v>
      </c>
      <c r="I68" s="6" t="n">
        <v>146.02</v>
      </c>
      <c r="J68" s="6" t="n">
        <v>109.35</v>
      </c>
      <c r="K68" s="6"/>
      <c r="L68" s="6" t="n">
        <v>0</v>
      </c>
      <c r="M68" s="6"/>
      <c r="N68" s="6"/>
      <c r="O68" s="6"/>
      <c r="P68" s="6" t="n">
        <v>-0.45</v>
      </c>
      <c r="Q68" s="6" t="n">
        <v>0.766839378238342</v>
      </c>
      <c r="R68" s="6" t="s">
        <v>59</v>
      </c>
    </row>
    <row r="69" customFormat="false" ht="15" hidden="false" customHeight="false" outlineLevel="0" collapsed="false">
      <c r="A69" s="5" t="n">
        <v>46187</v>
      </c>
      <c r="B69" s="6" t="s">
        <v>50</v>
      </c>
      <c r="C69" s="6" t="s">
        <v>35</v>
      </c>
      <c r="D69" s="6" t="n">
        <v>3</v>
      </c>
      <c r="E69" s="6"/>
      <c r="F69" s="6" t="n">
        <v>210</v>
      </c>
      <c r="G69" s="6" t="n">
        <v>3.9</v>
      </c>
      <c r="H69" s="6" t="n">
        <v>3.44</v>
      </c>
      <c r="I69" s="6" t="n">
        <v>295.6</v>
      </c>
      <c r="J69" s="6" t="n">
        <v>236.73</v>
      </c>
      <c r="K69" s="6"/>
      <c r="L69" s="6" t="n">
        <v>0</v>
      </c>
      <c r="M69" s="6"/>
      <c r="N69" s="6"/>
      <c r="O69" s="6"/>
      <c r="P69" s="6" t="n">
        <v>-0.46</v>
      </c>
      <c r="Q69" s="6" t="n">
        <v>0.882051282051282</v>
      </c>
      <c r="R69" s="6" t="s">
        <v>59</v>
      </c>
    </row>
    <row r="70" customFormat="false" ht="15" hidden="false" customHeight="false" outlineLevel="0" collapsed="false">
      <c r="A70" s="5" t="n">
        <v>46187</v>
      </c>
      <c r="B70" s="6" t="s">
        <v>50</v>
      </c>
      <c r="C70" s="6" t="s">
        <v>35</v>
      </c>
      <c r="D70" s="6" t="n">
        <v>4</v>
      </c>
      <c r="E70" s="6"/>
      <c r="F70" s="6" t="n">
        <v>210</v>
      </c>
      <c r="G70" s="6" t="n">
        <v>4</v>
      </c>
      <c r="H70" s="6" t="n">
        <v>3.38</v>
      </c>
      <c r="I70" s="6" t="n">
        <v>294</v>
      </c>
      <c r="J70" s="6" t="n">
        <v>93.26</v>
      </c>
      <c r="K70" s="6"/>
      <c r="L70" s="6" t="n">
        <v>0</v>
      </c>
      <c r="M70" s="6"/>
      <c r="N70" s="6"/>
      <c r="O70" s="6"/>
      <c r="P70" s="6" t="n">
        <v>-0.62</v>
      </c>
      <c r="Q70" s="6" t="n">
        <v>0.845</v>
      </c>
      <c r="R70" s="6" t="s">
        <v>59</v>
      </c>
    </row>
    <row r="71" customFormat="false" ht="15" hidden="false" customHeight="false" outlineLevel="0" collapsed="false">
      <c r="A71" s="5" t="n">
        <v>46187</v>
      </c>
      <c r="B71" s="6" t="s">
        <v>50</v>
      </c>
      <c r="C71" s="6" t="s">
        <v>35</v>
      </c>
      <c r="D71" s="6" t="n">
        <v>5</v>
      </c>
      <c r="E71" s="6"/>
      <c r="F71" s="6" t="n">
        <v>210</v>
      </c>
      <c r="G71" s="6" t="n">
        <v>4</v>
      </c>
      <c r="H71" s="6" t="n">
        <v>3.67</v>
      </c>
      <c r="I71" s="6" t="n">
        <v>298</v>
      </c>
      <c r="J71" s="6" t="n">
        <v>229.59</v>
      </c>
      <c r="K71" s="6"/>
      <c r="L71" s="6" t="n">
        <v>0</v>
      </c>
      <c r="M71" s="6"/>
      <c r="N71" s="6"/>
      <c r="O71" s="6"/>
      <c r="P71" s="6" t="n">
        <v>-0.33</v>
      </c>
      <c r="Q71" s="6" t="n">
        <v>0.9175</v>
      </c>
      <c r="R71" s="6" t="s">
        <v>59</v>
      </c>
    </row>
    <row r="72" customFormat="false" ht="15" hidden="false" customHeight="false" outlineLevel="0" collapsed="false">
      <c r="A72" s="5" t="n">
        <v>46187</v>
      </c>
      <c r="B72" s="6" t="s">
        <v>50</v>
      </c>
      <c r="C72" s="6" t="s">
        <v>35</v>
      </c>
      <c r="D72" s="6" t="n">
        <v>6</v>
      </c>
      <c r="E72" s="6"/>
      <c r="F72" s="6" t="n">
        <v>195</v>
      </c>
      <c r="G72" s="6" t="n">
        <v>4.1</v>
      </c>
      <c r="H72" s="6" t="n">
        <v>3.85</v>
      </c>
      <c r="I72" s="6" t="n">
        <v>305.4</v>
      </c>
      <c r="J72" s="6" t="n">
        <v>295.56</v>
      </c>
      <c r="K72" s="6"/>
      <c r="L72" s="6" t="n">
        <v>0</v>
      </c>
      <c r="M72" s="6"/>
      <c r="N72" s="6"/>
      <c r="O72" s="6"/>
      <c r="P72" s="6" t="n">
        <v>-0.25</v>
      </c>
      <c r="Q72" s="6" t="n">
        <v>0.939024390243903</v>
      </c>
      <c r="R72" s="6" t="s">
        <v>59</v>
      </c>
    </row>
    <row r="73" customFormat="false" ht="15" hidden="false" customHeight="false" outlineLevel="0" collapsed="false">
      <c r="A73" s="5" t="n">
        <v>46187</v>
      </c>
      <c r="B73" s="6" t="s">
        <v>50</v>
      </c>
      <c r="C73" s="6" t="s">
        <v>35</v>
      </c>
      <c r="D73" s="6" t="n">
        <v>7</v>
      </c>
      <c r="E73" s="6"/>
      <c r="F73" s="6" t="n">
        <v>195</v>
      </c>
      <c r="G73" s="6" t="n">
        <v>4.1</v>
      </c>
      <c r="H73" s="6" t="n">
        <v>3.72</v>
      </c>
      <c r="I73" s="6" t="n">
        <v>303.4</v>
      </c>
      <c r="J73" s="6" t="n">
        <v>253.95</v>
      </c>
      <c r="K73" s="6"/>
      <c r="L73" s="6" t="n">
        <v>0</v>
      </c>
      <c r="M73" s="6"/>
      <c r="N73" s="6"/>
      <c r="O73" s="6"/>
      <c r="P73" s="6" t="n">
        <v>-0.379999999999999</v>
      </c>
      <c r="Q73" s="6" t="n">
        <v>0.907317073170732</v>
      </c>
      <c r="R73" s="6" t="s">
        <v>59</v>
      </c>
    </row>
    <row r="74" customFormat="false" ht="15" hidden="false" customHeight="false" outlineLevel="0" collapsed="false">
      <c r="A74" s="5" t="n">
        <v>46188</v>
      </c>
      <c r="B74" s="6" t="s">
        <v>50</v>
      </c>
      <c r="C74" s="6" t="s">
        <v>5</v>
      </c>
      <c r="D74" s="6"/>
      <c r="E74" s="6"/>
      <c r="F74" s="6" t="n">
        <v>1240</v>
      </c>
      <c r="G74" s="6" t="n">
        <v>19.96</v>
      </c>
      <c r="H74" s="6" t="n">
        <v>21.3</v>
      </c>
      <c r="I74" s="6" t="n">
        <v>1808.4</v>
      </c>
      <c r="J74" s="6" t="n">
        <v>1345.05</v>
      </c>
      <c r="K74" s="6" t="n">
        <v>13</v>
      </c>
      <c r="L74" s="6" t="n">
        <v>0</v>
      </c>
      <c r="M74" s="6"/>
      <c r="N74" s="6"/>
      <c r="O74" s="6"/>
      <c r="P74" s="6" t="n">
        <v>1.34</v>
      </c>
      <c r="Q74" s="6" t="n">
        <v>1.06713426853707</v>
      </c>
      <c r="R74" s="6" t="s">
        <v>60</v>
      </c>
    </row>
    <row r="75" customFormat="false" ht="15" hidden="false" customHeight="false" outlineLevel="0" collapsed="false">
      <c r="A75" s="5" t="n">
        <v>46188</v>
      </c>
      <c r="B75" s="6" t="s">
        <v>50</v>
      </c>
      <c r="C75" s="6" t="s">
        <v>35</v>
      </c>
      <c r="D75" s="6" t="n">
        <v>1</v>
      </c>
      <c r="E75" s="6"/>
      <c r="F75" s="6" t="n">
        <v>110</v>
      </c>
      <c r="G75" s="6" t="n">
        <v>1.93</v>
      </c>
      <c r="H75" s="6" t="n">
        <v>1.54</v>
      </c>
      <c r="I75" s="6" t="n">
        <v>147.95</v>
      </c>
      <c r="J75" s="6" t="n">
        <v>106.85</v>
      </c>
      <c r="K75" s="6"/>
      <c r="L75" s="6" t="n">
        <v>0</v>
      </c>
      <c r="M75" s="6"/>
      <c r="N75" s="6"/>
      <c r="O75" s="6"/>
      <c r="P75" s="6" t="n">
        <v>-0.39</v>
      </c>
      <c r="Q75" s="6" t="n">
        <v>0.797927461139896</v>
      </c>
      <c r="R75" s="6" t="s">
        <v>60</v>
      </c>
    </row>
    <row r="76" customFormat="false" ht="15" hidden="false" customHeight="false" outlineLevel="0" collapsed="false">
      <c r="A76" s="5" t="n">
        <v>46188</v>
      </c>
      <c r="B76" s="6" t="s">
        <v>50</v>
      </c>
      <c r="C76" s="6" t="s">
        <v>35</v>
      </c>
      <c r="D76" s="6" t="n">
        <v>2</v>
      </c>
      <c r="E76" s="6"/>
      <c r="F76" s="6" t="n">
        <v>110</v>
      </c>
      <c r="G76" s="6" t="n">
        <v>1.93</v>
      </c>
      <c r="H76" s="6" t="n">
        <v>1.56</v>
      </c>
      <c r="I76" s="6" t="n">
        <v>147.95</v>
      </c>
      <c r="J76" s="6" t="n">
        <v>110.91</v>
      </c>
      <c r="K76" s="6"/>
      <c r="L76" s="6" t="n">
        <v>0</v>
      </c>
      <c r="M76" s="6"/>
      <c r="N76" s="6"/>
      <c r="O76" s="6"/>
      <c r="P76" s="6" t="n">
        <v>-0.37</v>
      </c>
      <c r="Q76" s="6" t="n">
        <v>0.808290155440415</v>
      </c>
      <c r="R76" s="6" t="s">
        <v>60</v>
      </c>
    </row>
    <row r="77" customFormat="false" ht="15" hidden="false" customHeight="false" outlineLevel="0" collapsed="false">
      <c r="A77" s="5" t="n">
        <v>46188</v>
      </c>
      <c r="B77" s="6" t="s">
        <v>50</v>
      </c>
      <c r="C77" s="6" t="s">
        <v>35</v>
      </c>
      <c r="D77" s="6" t="n">
        <v>3</v>
      </c>
      <c r="E77" s="6"/>
      <c r="F77" s="6" t="n">
        <v>210</v>
      </c>
      <c r="G77" s="6" t="n">
        <v>3.9</v>
      </c>
      <c r="H77" s="6" t="n">
        <v>3.5</v>
      </c>
      <c r="I77" s="6" t="n">
        <v>299.5</v>
      </c>
      <c r="J77" s="6" t="n">
        <v>240.23</v>
      </c>
      <c r="K77" s="6"/>
      <c r="L77" s="6" t="n">
        <v>0</v>
      </c>
      <c r="M77" s="6"/>
      <c r="N77" s="6"/>
      <c r="O77" s="6"/>
      <c r="P77" s="6" t="n">
        <v>-0.4</v>
      </c>
      <c r="Q77" s="6" t="n">
        <v>0.897435897435898</v>
      </c>
      <c r="R77" s="6" t="s">
        <v>60</v>
      </c>
    </row>
    <row r="78" customFormat="false" ht="15" hidden="false" customHeight="false" outlineLevel="0" collapsed="false">
      <c r="A78" s="5" t="n">
        <v>46188</v>
      </c>
      <c r="B78" s="6" t="s">
        <v>50</v>
      </c>
      <c r="C78" s="6" t="s">
        <v>35</v>
      </c>
      <c r="D78" s="6" t="n">
        <v>4</v>
      </c>
      <c r="E78" s="6"/>
      <c r="F78" s="6" t="n">
        <v>210</v>
      </c>
      <c r="G78" s="6" t="n">
        <v>0</v>
      </c>
      <c r="H78" s="6" t="n">
        <v>3.38</v>
      </c>
      <c r="I78" s="6" t="n">
        <v>294</v>
      </c>
      <c r="J78" s="6" t="n">
        <v>96.64</v>
      </c>
      <c r="K78" s="6"/>
      <c r="L78" s="6" t="n">
        <v>0</v>
      </c>
      <c r="M78" s="6"/>
      <c r="N78" s="6"/>
      <c r="O78" s="6"/>
      <c r="P78" s="6" t="n">
        <v>3.38</v>
      </c>
      <c r="Q78" s="6"/>
      <c r="R78" s="6" t="s">
        <v>60</v>
      </c>
    </row>
    <row r="79" customFormat="false" ht="15" hidden="false" customHeight="false" outlineLevel="0" collapsed="false">
      <c r="A79" s="5" t="n">
        <v>46188</v>
      </c>
      <c r="B79" s="6" t="s">
        <v>50</v>
      </c>
      <c r="C79" s="6" t="s">
        <v>35</v>
      </c>
      <c r="D79" s="6" t="n">
        <v>5</v>
      </c>
      <c r="E79" s="6"/>
      <c r="F79" s="6" t="n">
        <v>210</v>
      </c>
      <c r="G79" s="6" t="n">
        <v>4</v>
      </c>
      <c r="H79" s="6" t="n">
        <v>3.75</v>
      </c>
      <c r="I79" s="6" t="n">
        <v>302</v>
      </c>
      <c r="J79" s="6" t="n">
        <v>233.34</v>
      </c>
      <c r="K79" s="6"/>
      <c r="L79" s="6" t="n">
        <v>0</v>
      </c>
      <c r="M79" s="6"/>
      <c r="N79" s="6"/>
      <c r="O79" s="6"/>
      <c r="P79" s="6" t="n">
        <v>-0.25</v>
      </c>
      <c r="Q79" s="6" t="n">
        <v>0.9375</v>
      </c>
      <c r="R79" s="6" t="s">
        <v>60</v>
      </c>
    </row>
    <row r="80" customFormat="false" ht="15" hidden="false" customHeight="false" outlineLevel="0" collapsed="false">
      <c r="A80" s="5" t="n">
        <v>46188</v>
      </c>
      <c r="B80" s="6" t="s">
        <v>50</v>
      </c>
      <c r="C80" s="6" t="s">
        <v>35</v>
      </c>
      <c r="D80" s="6" t="n">
        <v>6</v>
      </c>
      <c r="E80" s="6"/>
      <c r="F80" s="6" t="n">
        <v>195</v>
      </c>
      <c r="G80" s="6" t="n">
        <v>4.1</v>
      </c>
      <c r="H80" s="6" t="n">
        <v>3.85</v>
      </c>
      <c r="I80" s="6" t="n">
        <v>309.5</v>
      </c>
      <c r="J80" s="6" t="n">
        <v>299.41</v>
      </c>
      <c r="K80" s="6"/>
      <c r="L80" s="6" t="n">
        <v>0</v>
      </c>
      <c r="M80" s="6"/>
      <c r="N80" s="6"/>
      <c r="O80" s="6"/>
      <c r="P80" s="6" t="n">
        <v>-0.25</v>
      </c>
      <c r="Q80" s="6" t="n">
        <v>0.939024390243903</v>
      </c>
      <c r="R80" s="6" t="s">
        <v>60</v>
      </c>
    </row>
    <row r="81" customFormat="false" ht="15" hidden="false" customHeight="false" outlineLevel="0" collapsed="false">
      <c r="A81" s="5" t="n">
        <v>46188</v>
      </c>
      <c r="B81" s="6" t="s">
        <v>50</v>
      </c>
      <c r="C81" s="6" t="s">
        <v>35</v>
      </c>
      <c r="D81" s="6" t="n">
        <v>7</v>
      </c>
      <c r="E81" s="6"/>
      <c r="F81" s="6" t="n">
        <v>195</v>
      </c>
      <c r="G81" s="6" t="n">
        <v>4.1</v>
      </c>
      <c r="H81" s="6" t="n">
        <v>3.72</v>
      </c>
      <c r="I81" s="6" t="n">
        <v>307.5</v>
      </c>
      <c r="J81" s="6" t="n">
        <v>257.67</v>
      </c>
      <c r="K81" s="6"/>
      <c r="L81" s="6" t="n">
        <v>0</v>
      </c>
      <c r="M81" s="6"/>
      <c r="N81" s="6"/>
      <c r="O81" s="6"/>
      <c r="P81" s="6" t="n">
        <v>-0.379999999999999</v>
      </c>
      <c r="Q81" s="6" t="n">
        <v>0.907317073170732</v>
      </c>
      <c r="R81" s="6" t="s">
        <v>60</v>
      </c>
    </row>
    <row r="82" customFormat="false" ht="15" hidden="false" customHeight="false" outlineLevel="0" collapsed="false">
      <c r="A82" s="5" t="n">
        <v>46189</v>
      </c>
      <c r="B82" s="6" t="s">
        <v>50</v>
      </c>
      <c r="C82" s="6" t="s">
        <v>5</v>
      </c>
      <c r="D82" s="6"/>
      <c r="E82" s="6"/>
      <c r="F82" s="6" t="n">
        <v>1240</v>
      </c>
      <c r="G82" s="6" t="n">
        <v>19.96</v>
      </c>
      <c r="H82" s="6" t="n">
        <v>22.49</v>
      </c>
      <c r="I82" s="6" t="n">
        <v>1828.36</v>
      </c>
      <c r="J82" s="6" t="n">
        <v>1367.54</v>
      </c>
      <c r="K82" s="6" t="n">
        <v>13</v>
      </c>
      <c r="L82" s="6" t="n">
        <v>0</v>
      </c>
      <c r="M82" s="6"/>
      <c r="N82" s="6"/>
      <c r="O82" s="6"/>
      <c r="P82" s="6" t="n">
        <v>2.53</v>
      </c>
      <c r="Q82" s="6" t="n">
        <v>1.12675350701403</v>
      </c>
      <c r="R82" s="6" t="s">
        <v>61</v>
      </c>
    </row>
    <row r="83" customFormat="false" ht="15" hidden="false" customHeight="false" outlineLevel="0" collapsed="false">
      <c r="A83" s="5" t="n">
        <v>46189</v>
      </c>
      <c r="B83" s="6" t="s">
        <v>50</v>
      </c>
      <c r="C83" s="6" t="s">
        <v>35</v>
      </c>
      <c r="D83" s="6" t="n">
        <v>1</v>
      </c>
      <c r="E83" s="6"/>
      <c r="F83" s="6" t="n">
        <v>110</v>
      </c>
      <c r="G83" s="6" t="n">
        <v>1.93</v>
      </c>
      <c r="H83" s="6" t="n">
        <v>1.68</v>
      </c>
      <c r="I83" s="6" t="n">
        <v>149.88</v>
      </c>
      <c r="J83" s="6" t="n">
        <v>108.53</v>
      </c>
      <c r="K83" s="6"/>
      <c r="L83" s="6" t="n">
        <v>0</v>
      </c>
      <c r="M83" s="6"/>
      <c r="N83" s="6"/>
      <c r="O83" s="6"/>
      <c r="P83" s="6" t="n">
        <v>-0.25</v>
      </c>
      <c r="Q83" s="6" t="n">
        <v>0.870466321243523</v>
      </c>
      <c r="R83" s="6" t="s">
        <v>61</v>
      </c>
    </row>
    <row r="84" customFormat="false" ht="15" hidden="false" customHeight="false" outlineLevel="0" collapsed="false">
      <c r="A84" s="5" t="n">
        <v>46189</v>
      </c>
      <c r="B84" s="6" t="s">
        <v>50</v>
      </c>
      <c r="C84" s="6" t="s">
        <v>35</v>
      </c>
      <c r="D84" s="6" t="n">
        <v>2</v>
      </c>
      <c r="E84" s="6"/>
      <c r="F84" s="6" t="n">
        <v>110</v>
      </c>
      <c r="G84" s="6" t="n">
        <v>1.93</v>
      </c>
      <c r="H84" s="6" t="n">
        <v>1.73</v>
      </c>
      <c r="I84" s="6" t="n">
        <v>149.88</v>
      </c>
      <c r="J84" s="6" t="n">
        <v>112.64</v>
      </c>
      <c r="K84" s="6"/>
      <c r="L84" s="6" t="n">
        <v>0</v>
      </c>
      <c r="M84" s="6"/>
      <c r="N84" s="6"/>
      <c r="O84" s="6"/>
      <c r="P84" s="6" t="n">
        <v>-0.2</v>
      </c>
      <c r="Q84" s="6" t="n">
        <v>0.896373056994819</v>
      </c>
      <c r="R84" s="6" t="s">
        <v>61</v>
      </c>
    </row>
    <row r="85" customFormat="false" ht="15" hidden="false" customHeight="false" outlineLevel="0" collapsed="false">
      <c r="A85" s="5" t="n">
        <v>46189</v>
      </c>
      <c r="B85" s="6" t="s">
        <v>50</v>
      </c>
      <c r="C85" s="6" t="s">
        <v>35</v>
      </c>
      <c r="D85" s="6" t="n">
        <v>3</v>
      </c>
      <c r="E85" s="6"/>
      <c r="F85" s="6" t="n">
        <v>210</v>
      </c>
      <c r="G85" s="6" t="n">
        <v>3.9</v>
      </c>
      <c r="H85" s="6" t="n">
        <v>3.79</v>
      </c>
      <c r="I85" s="6" t="n">
        <v>303.4</v>
      </c>
      <c r="J85" s="6" t="n">
        <v>244.02</v>
      </c>
      <c r="K85" s="6"/>
      <c r="L85" s="6" t="n">
        <v>0</v>
      </c>
      <c r="M85" s="6"/>
      <c r="N85" s="6"/>
      <c r="O85" s="6"/>
      <c r="P85" s="6" t="n">
        <v>-0.11</v>
      </c>
      <c r="Q85" s="6" t="n">
        <v>0.971794871794872</v>
      </c>
      <c r="R85" s="6" t="s">
        <v>61</v>
      </c>
    </row>
    <row r="86" customFormat="false" ht="15" hidden="false" customHeight="false" outlineLevel="0" collapsed="false">
      <c r="A86" s="5" t="n">
        <v>46189</v>
      </c>
      <c r="B86" s="6" t="s">
        <v>50</v>
      </c>
      <c r="C86" s="6" t="s">
        <v>35</v>
      </c>
      <c r="D86" s="6" t="n">
        <v>4</v>
      </c>
      <c r="E86" s="6"/>
      <c r="F86" s="6" t="n">
        <v>210</v>
      </c>
      <c r="G86" s="6" t="n">
        <v>0</v>
      </c>
      <c r="H86" s="6" t="n">
        <v>3.38</v>
      </c>
      <c r="I86" s="6" t="n">
        <v>294</v>
      </c>
      <c r="J86" s="6" t="n">
        <v>100.02</v>
      </c>
      <c r="K86" s="6"/>
      <c r="L86" s="6" t="n">
        <v>0</v>
      </c>
      <c r="M86" s="6"/>
      <c r="N86" s="6"/>
      <c r="O86" s="6"/>
      <c r="P86" s="6" t="n">
        <v>3.38</v>
      </c>
      <c r="Q86" s="6"/>
      <c r="R86" s="6" t="s">
        <v>61</v>
      </c>
    </row>
    <row r="87" customFormat="false" ht="15" hidden="false" customHeight="false" outlineLevel="0" collapsed="false">
      <c r="A87" s="5" t="n">
        <v>46189</v>
      </c>
      <c r="B87" s="6" t="s">
        <v>50</v>
      </c>
      <c r="C87" s="6" t="s">
        <v>35</v>
      </c>
      <c r="D87" s="6" t="n">
        <v>5</v>
      </c>
      <c r="E87" s="6"/>
      <c r="F87" s="6" t="n">
        <v>210</v>
      </c>
      <c r="G87" s="6" t="n">
        <v>4</v>
      </c>
      <c r="H87" s="6" t="n">
        <v>4.03</v>
      </c>
      <c r="I87" s="6" t="n">
        <v>306</v>
      </c>
      <c r="J87" s="6" t="n">
        <v>237.37</v>
      </c>
      <c r="K87" s="6"/>
      <c r="L87" s="6" t="n">
        <v>0</v>
      </c>
      <c r="M87" s="6"/>
      <c r="N87" s="6"/>
      <c r="O87" s="6"/>
      <c r="P87" s="6" t="n">
        <v>0.0300000000000003</v>
      </c>
      <c r="Q87" s="6" t="n">
        <v>1.0075</v>
      </c>
      <c r="R87" s="6" t="s">
        <v>61</v>
      </c>
    </row>
    <row r="88" customFormat="false" ht="15" hidden="false" customHeight="false" outlineLevel="0" collapsed="false">
      <c r="A88" s="5" t="n">
        <v>46189</v>
      </c>
      <c r="B88" s="6" t="s">
        <v>50</v>
      </c>
      <c r="C88" s="6" t="s">
        <v>35</v>
      </c>
      <c r="D88" s="6" t="n">
        <v>6</v>
      </c>
      <c r="E88" s="6"/>
      <c r="F88" s="6" t="n">
        <v>195</v>
      </c>
      <c r="G88" s="6" t="n">
        <v>4.1</v>
      </c>
      <c r="H88" s="6" t="n">
        <v>3.85</v>
      </c>
      <c r="I88" s="6" t="n">
        <v>313.6</v>
      </c>
      <c r="J88" s="6" t="n">
        <v>303.26</v>
      </c>
      <c r="K88" s="6"/>
      <c r="L88" s="6" t="n">
        <v>0</v>
      </c>
      <c r="M88" s="6"/>
      <c r="N88" s="6"/>
      <c r="O88" s="6"/>
      <c r="P88" s="6" t="n">
        <v>-0.25</v>
      </c>
      <c r="Q88" s="6" t="n">
        <v>0.939024390243903</v>
      </c>
      <c r="R88" s="6" t="s">
        <v>61</v>
      </c>
    </row>
    <row r="89" customFormat="false" ht="15" hidden="false" customHeight="false" outlineLevel="0" collapsed="false">
      <c r="A89" s="5" t="n">
        <v>46189</v>
      </c>
      <c r="B89" s="6" t="s">
        <v>50</v>
      </c>
      <c r="C89" s="6" t="s">
        <v>35</v>
      </c>
      <c r="D89" s="6" t="n">
        <v>7</v>
      </c>
      <c r="E89" s="6"/>
      <c r="F89" s="6" t="n">
        <v>195</v>
      </c>
      <c r="G89" s="6" t="n">
        <v>4.1</v>
      </c>
      <c r="H89" s="6" t="n">
        <v>4.03</v>
      </c>
      <c r="I89" s="6" t="n">
        <v>311.6</v>
      </c>
      <c r="J89" s="6" t="n">
        <v>261.7</v>
      </c>
      <c r="K89" s="6"/>
      <c r="L89" s="6" t="n">
        <v>0</v>
      </c>
      <c r="M89" s="6"/>
      <c r="N89" s="6"/>
      <c r="O89" s="6"/>
      <c r="P89" s="6" t="n">
        <v>-0.0699999999999994</v>
      </c>
      <c r="Q89" s="6" t="n">
        <v>0.982926829268293</v>
      </c>
      <c r="R89" s="6" t="s">
        <v>61</v>
      </c>
    </row>
    <row r="90" customFormat="false" ht="15" hidden="false" customHeight="false" outlineLevel="0" collapsed="false">
      <c r="A90" s="5" t="n">
        <v>46190</v>
      </c>
      <c r="B90" s="6" t="s">
        <v>50</v>
      </c>
      <c r="C90" s="6" t="s">
        <v>5</v>
      </c>
      <c r="D90" s="6"/>
      <c r="E90" s="6"/>
      <c r="F90" s="6" t="n">
        <v>1240</v>
      </c>
      <c r="G90" s="6" t="n">
        <v>19.96</v>
      </c>
      <c r="H90" s="6" t="n">
        <v>22.35</v>
      </c>
      <c r="I90" s="6" t="n">
        <v>1848.32</v>
      </c>
      <c r="J90" s="6" t="n">
        <v>1389.89</v>
      </c>
      <c r="K90" s="6" t="n">
        <v>13</v>
      </c>
      <c r="L90" s="6" t="n">
        <v>0</v>
      </c>
      <c r="M90" s="6"/>
      <c r="N90" s="6"/>
      <c r="O90" s="6"/>
      <c r="P90" s="6" t="n">
        <v>2.39</v>
      </c>
      <c r="Q90" s="6" t="n">
        <v>1.11973947895792</v>
      </c>
      <c r="R90" s="6" t="s">
        <v>62</v>
      </c>
    </row>
    <row r="91" customFormat="false" ht="15" hidden="false" customHeight="false" outlineLevel="0" collapsed="false">
      <c r="A91" s="5" t="n">
        <v>46190</v>
      </c>
      <c r="B91" s="6" t="s">
        <v>50</v>
      </c>
      <c r="C91" s="6" t="s">
        <v>35</v>
      </c>
      <c r="D91" s="6" t="n">
        <v>1</v>
      </c>
      <c r="E91" s="6"/>
      <c r="F91" s="6" t="n">
        <v>110</v>
      </c>
      <c r="G91" s="6" t="n">
        <v>1.93</v>
      </c>
      <c r="H91" s="6" t="n">
        <v>1.6</v>
      </c>
      <c r="I91" s="6" t="n">
        <v>151.81</v>
      </c>
      <c r="J91" s="6" t="n">
        <v>110.13</v>
      </c>
      <c r="K91" s="6"/>
      <c r="L91" s="6" t="n">
        <v>0</v>
      </c>
      <c r="M91" s="6"/>
      <c r="N91" s="6"/>
      <c r="O91" s="6"/>
      <c r="P91" s="6" t="n">
        <v>-0.33</v>
      </c>
      <c r="Q91" s="6" t="n">
        <v>0.829015544041451</v>
      </c>
      <c r="R91" s="6" t="s">
        <v>62</v>
      </c>
    </row>
    <row r="92" customFormat="false" ht="15" hidden="false" customHeight="false" outlineLevel="0" collapsed="false">
      <c r="A92" s="5" t="n">
        <v>46190</v>
      </c>
      <c r="B92" s="6" t="s">
        <v>50</v>
      </c>
      <c r="C92" s="6" t="s">
        <v>35</v>
      </c>
      <c r="D92" s="6" t="n">
        <v>2</v>
      </c>
      <c r="E92" s="6"/>
      <c r="F92" s="6" t="n">
        <v>110</v>
      </c>
      <c r="G92" s="6" t="n">
        <v>1.93</v>
      </c>
      <c r="H92" s="6" t="n">
        <v>1.66</v>
      </c>
      <c r="I92" s="6" t="n">
        <v>151.81</v>
      </c>
      <c r="J92" s="6" t="n">
        <v>114.3</v>
      </c>
      <c r="K92" s="6"/>
      <c r="L92" s="6" t="n">
        <v>0</v>
      </c>
      <c r="M92" s="6"/>
      <c r="N92" s="6"/>
      <c r="O92" s="6"/>
      <c r="P92" s="6" t="n">
        <v>-0.27</v>
      </c>
      <c r="Q92" s="6" t="n">
        <v>0.860103626943005</v>
      </c>
      <c r="R92" s="6" t="s">
        <v>62</v>
      </c>
    </row>
    <row r="93" customFormat="false" ht="15" hidden="false" customHeight="false" outlineLevel="0" collapsed="false">
      <c r="A93" s="5" t="n">
        <v>46190</v>
      </c>
      <c r="B93" s="6" t="s">
        <v>50</v>
      </c>
      <c r="C93" s="6" t="s">
        <v>35</v>
      </c>
      <c r="D93" s="6" t="n">
        <v>3</v>
      </c>
      <c r="E93" s="6"/>
      <c r="F93" s="6" t="n">
        <v>210</v>
      </c>
      <c r="G93" s="6" t="n">
        <v>3.9</v>
      </c>
      <c r="H93" s="6" t="n">
        <v>3.72</v>
      </c>
      <c r="I93" s="6" t="n">
        <v>307.3</v>
      </c>
      <c r="J93" s="6" t="n">
        <v>247.74</v>
      </c>
      <c r="K93" s="6"/>
      <c r="L93" s="6" t="n">
        <v>0</v>
      </c>
      <c r="M93" s="6"/>
      <c r="N93" s="6"/>
      <c r="O93" s="6"/>
      <c r="P93" s="6" t="n">
        <v>-0.18</v>
      </c>
      <c r="Q93" s="6" t="n">
        <v>0.953846153846154</v>
      </c>
      <c r="R93" s="6" t="s">
        <v>62</v>
      </c>
    </row>
    <row r="94" customFormat="false" ht="15" hidden="false" customHeight="false" outlineLevel="0" collapsed="false">
      <c r="A94" s="5" t="n">
        <v>46190</v>
      </c>
      <c r="B94" s="6" t="s">
        <v>50</v>
      </c>
      <c r="C94" s="6" t="s">
        <v>35</v>
      </c>
      <c r="D94" s="6" t="n">
        <v>4</v>
      </c>
      <c r="E94" s="6"/>
      <c r="F94" s="6" t="n">
        <v>210</v>
      </c>
      <c r="G94" s="6" t="n">
        <v>0</v>
      </c>
      <c r="H94" s="6" t="n">
        <v>3.52</v>
      </c>
      <c r="I94" s="6" t="n">
        <v>294</v>
      </c>
      <c r="J94" s="6" t="n">
        <v>103.54</v>
      </c>
      <c r="K94" s="6"/>
      <c r="L94" s="6" t="n">
        <v>0</v>
      </c>
      <c r="M94" s="6"/>
      <c r="N94" s="6"/>
      <c r="O94" s="6"/>
      <c r="P94" s="6" t="n">
        <v>3.52</v>
      </c>
      <c r="Q94" s="6"/>
      <c r="R94" s="6" t="s">
        <v>62</v>
      </c>
    </row>
    <row r="95" customFormat="false" ht="15" hidden="false" customHeight="false" outlineLevel="0" collapsed="false">
      <c r="A95" s="5" t="n">
        <v>46190</v>
      </c>
      <c r="B95" s="6" t="s">
        <v>50</v>
      </c>
      <c r="C95" s="6" t="s">
        <v>35</v>
      </c>
      <c r="D95" s="6" t="n">
        <v>5</v>
      </c>
      <c r="E95" s="6"/>
      <c r="F95" s="6" t="n">
        <v>210</v>
      </c>
      <c r="G95" s="6" t="n">
        <v>4</v>
      </c>
      <c r="H95" s="6" t="n">
        <v>4.04</v>
      </c>
      <c r="I95" s="6" t="n">
        <v>310</v>
      </c>
      <c r="J95" s="6" t="n">
        <v>241.41</v>
      </c>
      <c r="K95" s="6"/>
      <c r="L95" s="6" t="n">
        <v>0</v>
      </c>
      <c r="M95" s="6"/>
      <c r="N95" s="6"/>
      <c r="O95" s="6"/>
      <c r="P95" s="6" t="n">
        <v>0.04</v>
      </c>
      <c r="Q95" s="6" t="n">
        <v>1.01</v>
      </c>
      <c r="R95" s="6" t="s">
        <v>62</v>
      </c>
    </row>
    <row r="96" customFormat="false" ht="15" hidden="false" customHeight="false" outlineLevel="0" collapsed="false">
      <c r="A96" s="5" t="n">
        <v>46190</v>
      </c>
      <c r="B96" s="6" t="s">
        <v>50</v>
      </c>
      <c r="C96" s="6" t="s">
        <v>35</v>
      </c>
      <c r="D96" s="6" t="n">
        <v>6</v>
      </c>
      <c r="E96" s="6"/>
      <c r="F96" s="6" t="n">
        <v>195</v>
      </c>
      <c r="G96" s="6" t="n">
        <v>4.1</v>
      </c>
      <c r="H96" s="6" t="n">
        <v>3.85</v>
      </c>
      <c r="I96" s="6" t="n">
        <v>317.7</v>
      </c>
      <c r="J96" s="6" t="n">
        <v>307.11</v>
      </c>
      <c r="K96" s="6"/>
      <c r="L96" s="6" t="n">
        <v>0</v>
      </c>
      <c r="M96" s="6"/>
      <c r="N96" s="6"/>
      <c r="O96" s="6"/>
      <c r="P96" s="6" t="n">
        <v>-0.25</v>
      </c>
      <c r="Q96" s="6" t="n">
        <v>0.939024390243903</v>
      </c>
      <c r="R96" s="6" t="s">
        <v>62</v>
      </c>
    </row>
    <row r="97" customFormat="false" ht="15" hidden="false" customHeight="false" outlineLevel="0" collapsed="false">
      <c r="A97" s="5" t="n">
        <v>46190</v>
      </c>
      <c r="B97" s="6" t="s">
        <v>50</v>
      </c>
      <c r="C97" s="6" t="s">
        <v>35</v>
      </c>
      <c r="D97" s="6" t="n">
        <v>7</v>
      </c>
      <c r="E97" s="6"/>
      <c r="F97" s="6" t="n">
        <v>195</v>
      </c>
      <c r="G97" s="6" t="n">
        <v>4.1</v>
      </c>
      <c r="H97" s="6" t="n">
        <v>3.96</v>
      </c>
      <c r="I97" s="6" t="n">
        <v>315.7</v>
      </c>
      <c r="J97" s="6" t="n">
        <v>265.66</v>
      </c>
      <c r="K97" s="6"/>
      <c r="L97" s="6" t="n">
        <v>0</v>
      </c>
      <c r="M97" s="6"/>
      <c r="N97" s="6"/>
      <c r="O97" s="6"/>
      <c r="P97" s="6" t="n">
        <v>-0.14</v>
      </c>
      <c r="Q97" s="6" t="n">
        <v>0.965853658536585</v>
      </c>
      <c r="R97" s="6" t="s">
        <v>62</v>
      </c>
    </row>
    <row r="98" customFormat="false" ht="15" hidden="false" customHeight="false" outlineLevel="0" collapsed="false">
      <c r="A98" s="5" t="n">
        <v>46191</v>
      </c>
      <c r="B98" s="6" t="s">
        <v>50</v>
      </c>
      <c r="C98" s="6" t="s">
        <v>5</v>
      </c>
      <c r="D98" s="6"/>
      <c r="E98" s="6"/>
      <c r="F98" s="6" t="n">
        <v>1240</v>
      </c>
      <c r="G98" s="6" t="n">
        <v>19.96</v>
      </c>
      <c r="H98" s="6" t="n">
        <v>23.1</v>
      </c>
      <c r="I98" s="6" t="n">
        <v>1868.28</v>
      </c>
      <c r="J98" s="6" t="n">
        <v>1412.99</v>
      </c>
      <c r="K98" s="6" t="n">
        <v>13</v>
      </c>
      <c r="L98" s="6" t="n">
        <v>0</v>
      </c>
      <c r="M98" s="6"/>
      <c r="N98" s="6"/>
      <c r="O98" s="6"/>
      <c r="P98" s="6" t="n">
        <v>3.14</v>
      </c>
      <c r="Q98" s="6" t="n">
        <v>1.15731462925852</v>
      </c>
      <c r="R98" s="6" t="s">
        <v>63</v>
      </c>
    </row>
    <row r="99" customFormat="false" ht="15" hidden="false" customHeight="false" outlineLevel="0" collapsed="false">
      <c r="A99" s="5" t="n">
        <v>46191</v>
      </c>
      <c r="B99" s="6" t="s">
        <v>50</v>
      </c>
      <c r="C99" s="6" t="s">
        <v>35</v>
      </c>
      <c r="D99" s="6" t="n">
        <v>1</v>
      </c>
      <c r="E99" s="6"/>
      <c r="F99" s="6" t="n">
        <v>110</v>
      </c>
      <c r="G99" s="6" t="n">
        <v>1.93</v>
      </c>
      <c r="H99" s="6" t="n">
        <v>1.61</v>
      </c>
      <c r="I99" s="6" t="n">
        <v>153.74</v>
      </c>
      <c r="J99" s="6" t="n">
        <v>111.74</v>
      </c>
      <c r="K99" s="6"/>
      <c r="L99" s="6" t="n">
        <v>0</v>
      </c>
      <c r="M99" s="6"/>
      <c r="N99" s="6"/>
      <c r="O99" s="6"/>
      <c r="P99" s="6" t="n">
        <v>-0.32</v>
      </c>
      <c r="Q99" s="6" t="n">
        <v>0.83419689119171</v>
      </c>
      <c r="R99" s="6" t="s">
        <v>63</v>
      </c>
    </row>
    <row r="100" customFormat="false" ht="15" hidden="false" customHeight="false" outlineLevel="0" collapsed="false">
      <c r="A100" s="5" t="n">
        <v>46191</v>
      </c>
      <c r="B100" s="6" t="s">
        <v>50</v>
      </c>
      <c r="C100" s="6" t="s">
        <v>35</v>
      </c>
      <c r="D100" s="6" t="n">
        <v>2</v>
      </c>
      <c r="E100" s="6"/>
      <c r="F100" s="6" t="n">
        <v>110</v>
      </c>
      <c r="G100" s="6" t="n">
        <v>1.93</v>
      </c>
      <c r="H100" s="6" t="n">
        <v>1.77</v>
      </c>
      <c r="I100" s="6" t="n">
        <v>153.74</v>
      </c>
      <c r="J100" s="6" t="n">
        <v>116.07</v>
      </c>
      <c r="K100" s="6"/>
      <c r="L100" s="6" t="n">
        <v>0</v>
      </c>
      <c r="M100" s="6"/>
      <c r="N100" s="6"/>
      <c r="O100" s="6"/>
      <c r="P100" s="6" t="n">
        <v>-0.16</v>
      </c>
      <c r="Q100" s="6" t="n">
        <v>0.917098445595855</v>
      </c>
      <c r="R100" s="6" t="s">
        <v>63</v>
      </c>
    </row>
    <row r="101" customFormat="false" ht="15" hidden="false" customHeight="false" outlineLevel="0" collapsed="false">
      <c r="A101" s="5" t="n">
        <v>46191</v>
      </c>
      <c r="B101" s="6" t="s">
        <v>50</v>
      </c>
      <c r="C101" s="6" t="s">
        <v>35</v>
      </c>
      <c r="D101" s="6" t="n">
        <v>3</v>
      </c>
      <c r="E101" s="6"/>
      <c r="F101" s="6" t="n">
        <v>210</v>
      </c>
      <c r="G101" s="6" t="n">
        <v>3.9</v>
      </c>
      <c r="H101" s="6" t="n">
        <v>3.89</v>
      </c>
      <c r="I101" s="6" t="n">
        <v>311.2</v>
      </c>
      <c r="J101" s="6" t="n">
        <v>251.63</v>
      </c>
      <c r="K101" s="6"/>
      <c r="L101" s="6" t="n">
        <v>0</v>
      </c>
      <c r="M101" s="6"/>
      <c r="N101" s="6"/>
      <c r="O101" s="6"/>
      <c r="P101" s="6" t="n">
        <v>-0.00999999999999979</v>
      </c>
      <c r="Q101" s="6" t="n">
        <v>0.997435897435897</v>
      </c>
      <c r="R101" s="6" t="s">
        <v>63</v>
      </c>
    </row>
    <row r="102" customFormat="false" ht="15" hidden="false" customHeight="false" outlineLevel="0" collapsed="false">
      <c r="A102" s="5" t="n">
        <v>46191</v>
      </c>
      <c r="B102" s="6" t="s">
        <v>50</v>
      </c>
      <c r="C102" s="6" t="s">
        <v>35</v>
      </c>
      <c r="D102" s="6" t="n">
        <v>4</v>
      </c>
      <c r="E102" s="6"/>
      <c r="F102" s="6" t="n">
        <v>210</v>
      </c>
      <c r="G102" s="6" t="n">
        <v>0</v>
      </c>
      <c r="H102" s="6" t="n">
        <v>3.62</v>
      </c>
      <c r="I102" s="6" t="n">
        <v>294</v>
      </c>
      <c r="J102" s="6" t="n">
        <v>107.16</v>
      </c>
      <c r="K102" s="6"/>
      <c r="L102" s="6" t="n">
        <v>0</v>
      </c>
      <c r="M102" s="6"/>
      <c r="N102" s="6"/>
      <c r="O102" s="6"/>
      <c r="P102" s="6" t="n">
        <v>3.62</v>
      </c>
      <c r="Q102" s="6"/>
      <c r="R102" s="6" t="s">
        <v>63</v>
      </c>
    </row>
    <row r="103" customFormat="false" ht="15" hidden="false" customHeight="false" outlineLevel="0" collapsed="false">
      <c r="A103" s="5" t="n">
        <v>46191</v>
      </c>
      <c r="B103" s="6" t="s">
        <v>50</v>
      </c>
      <c r="C103" s="6" t="s">
        <v>35</v>
      </c>
      <c r="D103" s="6" t="n">
        <v>5</v>
      </c>
      <c r="E103" s="6"/>
      <c r="F103" s="6" t="n">
        <v>210</v>
      </c>
      <c r="G103" s="6" t="n">
        <v>4</v>
      </c>
      <c r="H103" s="6" t="n">
        <v>4.18</v>
      </c>
      <c r="I103" s="6" t="n">
        <v>314</v>
      </c>
      <c r="J103" s="6" t="n">
        <v>245.59</v>
      </c>
      <c r="K103" s="6"/>
      <c r="L103" s="6" t="n">
        <v>0</v>
      </c>
      <c r="M103" s="6"/>
      <c r="N103" s="6"/>
      <c r="O103" s="6"/>
      <c r="P103" s="6" t="n">
        <v>0.18</v>
      </c>
      <c r="Q103" s="6" t="n">
        <v>1.045</v>
      </c>
      <c r="R103" s="6" t="s">
        <v>63</v>
      </c>
    </row>
    <row r="104" customFormat="false" ht="15" hidden="false" customHeight="false" outlineLevel="0" collapsed="false">
      <c r="A104" s="5" t="n">
        <v>46191</v>
      </c>
      <c r="B104" s="6" t="s">
        <v>50</v>
      </c>
      <c r="C104" s="6" t="s">
        <v>35</v>
      </c>
      <c r="D104" s="6" t="n">
        <v>6</v>
      </c>
      <c r="E104" s="6"/>
      <c r="F104" s="6" t="n">
        <v>195</v>
      </c>
      <c r="G104" s="6" t="n">
        <v>4.1</v>
      </c>
      <c r="H104" s="6" t="n">
        <v>3.84</v>
      </c>
      <c r="I104" s="6" t="n">
        <v>321.8</v>
      </c>
      <c r="J104" s="6" t="n">
        <v>310.95</v>
      </c>
      <c r="K104" s="6"/>
      <c r="L104" s="6" t="n">
        <v>0</v>
      </c>
      <c r="M104" s="6"/>
      <c r="N104" s="6"/>
      <c r="O104" s="6"/>
      <c r="P104" s="6" t="n">
        <v>-0.26</v>
      </c>
      <c r="Q104" s="6" t="n">
        <v>0.936585365853659</v>
      </c>
      <c r="R104" s="6" t="s">
        <v>63</v>
      </c>
    </row>
    <row r="105" customFormat="false" ht="15" hidden="false" customHeight="false" outlineLevel="0" collapsed="false">
      <c r="A105" s="5" t="n">
        <v>46191</v>
      </c>
      <c r="B105" s="6" t="s">
        <v>50</v>
      </c>
      <c r="C105" s="6" t="s">
        <v>35</v>
      </c>
      <c r="D105" s="6" t="n">
        <v>7</v>
      </c>
      <c r="E105" s="6"/>
      <c r="F105" s="6" t="n">
        <v>195</v>
      </c>
      <c r="G105" s="6" t="n">
        <v>4.1</v>
      </c>
      <c r="H105" s="6" t="n">
        <v>4.19</v>
      </c>
      <c r="I105" s="6" t="n">
        <v>319.8</v>
      </c>
      <c r="J105" s="6" t="n">
        <v>269.85</v>
      </c>
      <c r="K105" s="6"/>
      <c r="L105" s="6" t="n">
        <v>0</v>
      </c>
      <c r="M105" s="6"/>
      <c r="N105" s="6"/>
      <c r="O105" s="6"/>
      <c r="P105" s="6" t="n">
        <v>0.0900000000000008</v>
      </c>
      <c r="Q105" s="6" t="n">
        <v>1.0219512195122</v>
      </c>
      <c r="R105" s="6" t="s">
        <v>63</v>
      </c>
    </row>
    <row r="106" customFormat="false" ht="15" hidden="false" customHeight="false" outlineLevel="0" collapsed="false">
      <c r="A106" s="5" t="n">
        <v>46192</v>
      </c>
      <c r="B106" s="6" t="s">
        <v>50</v>
      </c>
      <c r="C106" s="6" t="s">
        <v>5</v>
      </c>
      <c r="D106" s="6"/>
      <c r="E106" s="6"/>
      <c r="F106" s="6" t="n">
        <v>1240</v>
      </c>
      <c r="G106" s="6" t="n">
        <v>19.96</v>
      </c>
      <c r="H106" s="6" t="n">
        <v>23.03</v>
      </c>
      <c r="I106" s="6" t="n">
        <v>1888.24</v>
      </c>
      <c r="J106" s="6" t="n">
        <v>1436.02</v>
      </c>
      <c r="K106" s="6" t="n">
        <v>13</v>
      </c>
      <c r="L106" s="6" t="n">
        <v>0</v>
      </c>
      <c r="M106" s="6"/>
      <c r="N106" s="6"/>
      <c r="O106" s="6"/>
      <c r="P106" s="6" t="n">
        <v>3.07</v>
      </c>
      <c r="Q106" s="6" t="n">
        <v>1.15380761523046</v>
      </c>
      <c r="R106" s="6" t="s">
        <v>64</v>
      </c>
    </row>
    <row r="107" customFormat="false" ht="15" hidden="false" customHeight="false" outlineLevel="0" collapsed="false">
      <c r="A107" s="5" t="n">
        <v>46192</v>
      </c>
      <c r="B107" s="6" t="s">
        <v>50</v>
      </c>
      <c r="C107" s="6" t="s">
        <v>35</v>
      </c>
      <c r="D107" s="6" t="n">
        <v>1</v>
      </c>
      <c r="E107" s="6"/>
      <c r="F107" s="6" t="n">
        <v>110</v>
      </c>
      <c r="G107" s="6" t="n">
        <v>1.93</v>
      </c>
      <c r="H107" s="6" t="n">
        <v>1.65</v>
      </c>
      <c r="I107" s="6" t="n">
        <v>155.67</v>
      </c>
      <c r="J107" s="6" t="n">
        <v>113.39</v>
      </c>
      <c r="K107" s="6"/>
      <c r="L107" s="6" t="n">
        <v>0</v>
      </c>
      <c r="M107" s="6"/>
      <c r="N107" s="6"/>
      <c r="O107" s="6"/>
      <c r="P107" s="6" t="n">
        <v>-0.28</v>
      </c>
      <c r="Q107" s="6" t="n">
        <v>0.854922279792746</v>
      </c>
      <c r="R107" s="6" t="s">
        <v>64</v>
      </c>
    </row>
    <row r="108" customFormat="false" ht="15" hidden="false" customHeight="false" outlineLevel="0" collapsed="false">
      <c r="A108" s="5" t="n">
        <v>46192</v>
      </c>
      <c r="B108" s="6" t="s">
        <v>50</v>
      </c>
      <c r="C108" s="6" t="s">
        <v>35</v>
      </c>
      <c r="D108" s="6" t="n">
        <v>2</v>
      </c>
      <c r="E108" s="6"/>
      <c r="F108" s="6" t="n">
        <v>110</v>
      </c>
      <c r="G108" s="6" t="n">
        <v>1.93</v>
      </c>
      <c r="H108" s="6" t="n">
        <v>1.76</v>
      </c>
      <c r="I108" s="6" t="n">
        <v>155.67</v>
      </c>
      <c r="J108" s="6" t="n">
        <v>117.83</v>
      </c>
      <c r="K108" s="6"/>
      <c r="L108" s="6" t="n">
        <v>0</v>
      </c>
      <c r="M108" s="6"/>
      <c r="N108" s="6"/>
      <c r="O108" s="6"/>
      <c r="P108" s="6" t="n">
        <v>-0.17</v>
      </c>
      <c r="Q108" s="6" t="n">
        <v>0.911917098445596</v>
      </c>
      <c r="R108" s="6" t="s">
        <v>64</v>
      </c>
    </row>
    <row r="109" customFormat="false" ht="15" hidden="false" customHeight="false" outlineLevel="0" collapsed="false">
      <c r="A109" s="5" t="n">
        <v>46192</v>
      </c>
      <c r="B109" s="6" t="s">
        <v>50</v>
      </c>
      <c r="C109" s="6" t="s">
        <v>35</v>
      </c>
      <c r="D109" s="6" t="n">
        <v>3</v>
      </c>
      <c r="E109" s="6"/>
      <c r="F109" s="6" t="n">
        <v>210</v>
      </c>
      <c r="G109" s="6" t="n">
        <v>3.9</v>
      </c>
      <c r="H109" s="6" t="n">
        <v>3.88</v>
      </c>
      <c r="I109" s="6" t="n">
        <v>315.1</v>
      </c>
      <c r="J109" s="6" t="n">
        <v>255.51</v>
      </c>
      <c r="K109" s="6"/>
      <c r="L109" s="6" t="n">
        <v>0</v>
      </c>
      <c r="M109" s="6"/>
      <c r="N109" s="6"/>
      <c r="O109" s="6"/>
      <c r="P109" s="6" t="n">
        <v>-0.02</v>
      </c>
      <c r="Q109" s="6" t="n">
        <v>0.994871794871795</v>
      </c>
      <c r="R109" s="6" t="s">
        <v>64</v>
      </c>
    </row>
    <row r="110" customFormat="false" ht="15" hidden="false" customHeight="false" outlineLevel="0" collapsed="false">
      <c r="A110" s="5" t="n">
        <v>46192</v>
      </c>
      <c r="B110" s="6" t="s">
        <v>50</v>
      </c>
      <c r="C110" s="6" t="s">
        <v>35</v>
      </c>
      <c r="D110" s="6" t="n">
        <v>4</v>
      </c>
      <c r="E110" s="6"/>
      <c r="F110" s="6" t="n">
        <v>210</v>
      </c>
      <c r="G110" s="6" t="n">
        <v>0</v>
      </c>
      <c r="H110" s="6" t="n">
        <v>3.57</v>
      </c>
      <c r="I110" s="6" t="n">
        <v>294</v>
      </c>
      <c r="J110" s="6" t="n">
        <v>110.73</v>
      </c>
      <c r="K110" s="6"/>
      <c r="L110" s="6" t="n">
        <v>0</v>
      </c>
      <c r="M110" s="6"/>
      <c r="N110" s="6"/>
      <c r="O110" s="6"/>
      <c r="P110" s="6" t="n">
        <v>3.57</v>
      </c>
      <c r="Q110" s="6"/>
      <c r="R110" s="6" t="s">
        <v>64</v>
      </c>
    </row>
    <row r="111" customFormat="false" ht="15" hidden="false" customHeight="false" outlineLevel="0" collapsed="false">
      <c r="A111" s="5" t="n">
        <v>46192</v>
      </c>
      <c r="B111" s="6" t="s">
        <v>50</v>
      </c>
      <c r="C111" s="6" t="s">
        <v>35</v>
      </c>
      <c r="D111" s="6" t="n">
        <v>5</v>
      </c>
      <c r="E111" s="6"/>
      <c r="F111" s="6" t="n">
        <v>210</v>
      </c>
      <c r="G111" s="6" t="n">
        <v>4</v>
      </c>
      <c r="H111" s="6" t="n">
        <v>4.11</v>
      </c>
      <c r="I111" s="6" t="n">
        <v>318</v>
      </c>
      <c r="J111" s="6" t="n">
        <v>249.7</v>
      </c>
      <c r="K111" s="6"/>
      <c r="L111" s="6" t="n">
        <v>0</v>
      </c>
      <c r="M111" s="6"/>
      <c r="N111" s="6"/>
      <c r="O111" s="6"/>
      <c r="P111" s="6" t="n">
        <v>0.11</v>
      </c>
      <c r="Q111" s="6" t="n">
        <v>1.0275</v>
      </c>
      <c r="R111" s="6" t="s">
        <v>64</v>
      </c>
    </row>
    <row r="112" customFormat="false" ht="15" hidden="false" customHeight="false" outlineLevel="0" collapsed="false">
      <c r="A112" s="5" t="n">
        <v>46192</v>
      </c>
      <c r="B112" s="6" t="s">
        <v>50</v>
      </c>
      <c r="C112" s="6" t="s">
        <v>35</v>
      </c>
      <c r="D112" s="6" t="n">
        <v>6</v>
      </c>
      <c r="E112" s="6"/>
      <c r="F112" s="6" t="n">
        <v>195</v>
      </c>
      <c r="G112" s="6" t="n">
        <v>4.1</v>
      </c>
      <c r="H112" s="6" t="n">
        <v>3.85</v>
      </c>
      <c r="I112" s="6" t="n">
        <v>325.9</v>
      </c>
      <c r="J112" s="6" t="n">
        <v>314.8</v>
      </c>
      <c r="K112" s="6"/>
      <c r="L112" s="6" t="n">
        <v>0</v>
      </c>
      <c r="M112" s="6"/>
      <c r="N112" s="6"/>
      <c r="O112" s="6"/>
      <c r="P112" s="6" t="n">
        <v>-0.25</v>
      </c>
      <c r="Q112" s="6" t="n">
        <v>0.939024390243903</v>
      </c>
      <c r="R112" s="6" t="s">
        <v>64</v>
      </c>
    </row>
    <row r="113" customFormat="false" ht="15" hidden="false" customHeight="false" outlineLevel="0" collapsed="false">
      <c r="A113" s="5" t="n">
        <v>46192</v>
      </c>
      <c r="B113" s="6" t="s">
        <v>50</v>
      </c>
      <c r="C113" s="6" t="s">
        <v>35</v>
      </c>
      <c r="D113" s="6" t="n">
        <v>7</v>
      </c>
      <c r="E113" s="6"/>
      <c r="F113" s="6" t="n">
        <v>195</v>
      </c>
      <c r="G113" s="6" t="n">
        <v>4.1</v>
      </c>
      <c r="H113" s="6" t="n">
        <v>4.21</v>
      </c>
      <c r="I113" s="6" t="n">
        <v>323.9</v>
      </c>
      <c r="J113" s="6" t="n">
        <v>274.06</v>
      </c>
      <c r="K113" s="6"/>
      <c r="L113" s="6" t="n">
        <v>0</v>
      </c>
      <c r="M113" s="6"/>
      <c r="N113" s="6"/>
      <c r="O113" s="6"/>
      <c r="P113" s="6" t="n">
        <v>0.11</v>
      </c>
      <c r="Q113" s="6" t="n">
        <v>1.02682926829268</v>
      </c>
      <c r="R113" s="6" t="s">
        <v>64</v>
      </c>
    </row>
    <row r="114" customFormat="false" ht="15" hidden="false" customHeight="false" outlineLevel="0" collapsed="false">
      <c r="A114" s="5" t="n">
        <v>46193</v>
      </c>
      <c r="B114" s="6" t="s">
        <v>50</v>
      </c>
      <c r="C114" s="6" t="s">
        <v>5</v>
      </c>
      <c r="D114" s="6"/>
      <c r="E114" s="6"/>
      <c r="F114" s="6" t="n">
        <v>1240</v>
      </c>
      <c r="G114" s="6" t="n">
        <v>19.96</v>
      </c>
      <c r="H114" s="6" t="n">
        <v>23.61</v>
      </c>
      <c r="I114" s="6" t="n">
        <v>1908.2</v>
      </c>
      <c r="J114" s="6" t="n">
        <v>1459.63</v>
      </c>
      <c r="K114" s="6" t="n">
        <v>12</v>
      </c>
      <c r="L114" s="6" t="n">
        <v>0</v>
      </c>
      <c r="M114" s="6"/>
      <c r="N114" s="6"/>
      <c r="O114" s="6"/>
      <c r="P114" s="6" t="n">
        <v>3.65</v>
      </c>
      <c r="Q114" s="6" t="n">
        <v>1.18286573146293</v>
      </c>
      <c r="R114" s="6" t="s">
        <v>65</v>
      </c>
    </row>
    <row r="115" customFormat="false" ht="15" hidden="false" customHeight="false" outlineLevel="0" collapsed="false">
      <c r="A115" s="5" t="n">
        <v>46193</v>
      </c>
      <c r="B115" s="6" t="s">
        <v>50</v>
      </c>
      <c r="C115" s="6" t="s">
        <v>35</v>
      </c>
      <c r="D115" s="6" t="n">
        <v>1</v>
      </c>
      <c r="E115" s="6"/>
      <c r="F115" s="6" t="n">
        <v>110</v>
      </c>
      <c r="G115" s="6" t="n">
        <v>1.93</v>
      </c>
      <c r="H115" s="6" t="n">
        <v>1.76</v>
      </c>
      <c r="I115" s="6" t="n">
        <v>157.6</v>
      </c>
      <c r="J115" s="6" t="n">
        <v>115.15</v>
      </c>
      <c r="K115" s="6"/>
      <c r="L115" s="6" t="n">
        <v>0</v>
      </c>
      <c r="M115" s="6"/>
      <c r="N115" s="6"/>
      <c r="O115" s="6"/>
      <c r="P115" s="6" t="n">
        <v>-0.17</v>
      </c>
      <c r="Q115" s="6" t="n">
        <v>0.911917098445596</v>
      </c>
      <c r="R115" s="6" t="s">
        <v>65</v>
      </c>
    </row>
    <row r="116" customFormat="false" ht="15" hidden="false" customHeight="false" outlineLevel="0" collapsed="false">
      <c r="A116" s="5" t="n">
        <v>46193</v>
      </c>
      <c r="B116" s="6" t="s">
        <v>50</v>
      </c>
      <c r="C116" s="6" t="s">
        <v>35</v>
      </c>
      <c r="D116" s="6" t="n">
        <v>2</v>
      </c>
      <c r="E116" s="6"/>
      <c r="F116" s="6" t="n">
        <v>110</v>
      </c>
      <c r="G116" s="6" t="n">
        <v>1.93</v>
      </c>
      <c r="H116" s="6" t="n">
        <v>1.87</v>
      </c>
      <c r="I116" s="6" t="n">
        <v>157.6</v>
      </c>
      <c r="J116" s="6" t="n">
        <v>119.7</v>
      </c>
      <c r="K116" s="6"/>
      <c r="L116" s="6" t="n">
        <v>0</v>
      </c>
      <c r="M116" s="6"/>
      <c r="N116" s="6"/>
      <c r="O116" s="6"/>
      <c r="P116" s="6" t="n">
        <v>-0.0599999999999998</v>
      </c>
      <c r="Q116" s="6" t="n">
        <v>0.968911917098446</v>
      </c>
      <c r="R116" s="6" t="s">
        <v>65</v>
      </c>
    </row>
    <row r="117" customFormat="false" ht="15" hidden="false" customHeight="false" outlineLevel="0" collapsed="false">
      <c r="A117" s="5" t="n">
        <v>46193</v>
      </c>
      <c r="B117" s="6" t="s">
        <v>50</v>
      </c>
      <c r="C117" s="6" t="s">
        <v>35</v>
      </c>
      <c r="D117" s="6" t="n">
        <v>3</v>
      </c>
      <c r="E117" s="6"/>
      <c r="F117" s="6" t="n">
        <v>210</v>
      </c>
      <c r="G117" s="6" t="n">
        <v>3.9</v>
      </c>
      <c r="H117" s="6" t="n">
        <v>4.03</v>
      </c>
      <c r="I117" s="6" t="n">
        <v>319</v>
      </c>
      <c r="J117" s="6" t="n">
        <v>259.54</v>
      </c>
      <c r="K117" s="6"/>
      <c r="L117" s="6" t="n">
        <v>0</v>
      </c>
      <c r="M117" s="6"/>
      <c r="N117" s="6"/>
      <c r="O117" s="6"/>
      <c r="P117" s="6" t="n">
        <v>0.13</v>
      </c>
      <c r="Q117" s="6" t="n">
        <v>1.03333333333333</v>
      </c>
      <c r="R117" s="6" t="s">
        <v>65</v>
      </c>
    </row>
    <row r="118" customFormat="false" ht="15" hidden="false" customHeight="false" outlineLevel="0" collapsed="false">
      <c r="A118" s="5" t="n">
        <v>46193</v>
      </c>
      <c r="B118" s="6" t="s">
        <v>50</v>
      </c>
      <c r="C118" s="6" t="s">
        <v>35</v>
      </c>
      <c r="D118" s="6" t="n">
        <v>4</v>
      </c>
      <c r="E118" s="6"/>
      <c r="F118" s="6" t="n">
        <v>210</v>
      </c>
      <c r="G118" s="6" t="n">
        <v>0</v>
      </c>
      <c r="H118" s="6" t="n">
        <v>3.65</v>
      </c>
      <c r="I118" s="6" t="n">
        <v>294</v>
      </c>
      <c r="J118" s="6" t="n">
        <v>114.38</v>
      </c>
      <c r="K118" s="6"/>
      <c r="L118" s="6" t="n">
        <v>0</v>
      </c>
      <c r="M118" s="6"/>
      <c r="N118" s="6"/>
      <c r="O118" s="6"/>
      <c r="P118" s="6" t="n">
        <v>3.65</v>
      </c>
      <c r="Q118" s="6"/>
      <c r="R118" s="6" t="s">
        <v>65</v>
      </c>
    </row>
    <row r="119" customFormat="false" ht="15" hidden="false" customHeight="false" outlineLevel="0" collapsed="false">
      <c r="A119" s="5" t="n">
        <v>46193</v>
      </c>
      <c r="B119" s="6" t="s">
        <v>50</v>
      </c>
      <c r="C119" s="6" t="s">
        <v>35</v>
      </c>
      <c r="D119" s="6" t="n">
        <v>5</v>
      </c>
      <c r="E119" s="6"/>
      <c r="F119" s="6" t="n">
        <v>210</v>
      </c>
      <c r="G119" s="6" t="n">
        <v>4</v>
      </c>
      <c r="H119" s="6" t="n">
        <v>4.24</v>
      </c>
      <c r="I119" s="6" t="n">
        <v>322</v>
      </c>
      <c r="J119" s="6" t="n">
        <v>253.94</v>
      </c>
      <c r="K119" s="6"/>
      <c r="L119" s="6" t="n">
        <v>0</v>
      </c>
      <c r="M119" s="6"/>
      <c r="N119" s="6"/>
      <c r="O119" s="6"/>
      <c r="P119" s="6" t="n">
        <v>0.24</v>
      </c>
      <c r="Q119" s="6" t="n">
        <v>1.06</v>
      </c>
      <c r="R119" s="6" t="s">
        <v>65</v>
      </c>
    </row>
    <row r="120" customFormat="false" ht="15" hidden="false" customHeight="false" outlineLevel="0" collapsed="false">
      <c r="A120" s="5" t="n">
        <v>46193</v>
      </c>
      <c r="B120" s="6" t="s">
        <v>50</v>
      </c>
      <c r="C120" s="6" t="s">
        <v>35</v>
      </c>
      <c r="D120" s="6" t="n">
        <v>6</v>
      </c>
      <c r="E120" s="6"/>
      <c r="F120" s="6" t="n">
        <v>195</v>
      </c>
      <c r="G120" s="6" t="n">
        <v>4.1</v>
      </c>
      <c r="H120" s="6" t="n">
        <v>3.85</v>
      </c>
      <c r="I120" s="6" t="n">
        <v>330</v>
      </c>
      <c r="J120" s="6" t="n">
        <v>318.65</v>
      </c>
      <c r="K120" s="6"/>
      <c r="L120" s="6" t="n">
        <v>0</v>
      </c>
      <c r="M120" s="6"/>
      <c r="N120" s="6"/>
      <c r="O120" s="6"/>
      <c r="P120" s="6" t="n">
        <v>-0.25</v>
      </c>
      <c r="Q120" s="6" t="n">
        <v>0.939024390243903</v>
      </c>
      <c r="R120" s="6" t="s">
        <v>65</v>
      </c>
    </row>
    <row r="121" customFormat="false" ht="15" hidden="false" customHeight="false" outlineLevel="0" collapsed="false">
      <c r="A121" s="5" t="n">
        <v>46193</v>
      </c>
      <c r="B121" s="6" t="s">
        <v>50</v>
      </c>
      <c r="C121" s="6" t="s">
        <v>35</v>
      </c>
      <c r="D121" s="6" t="n">
        <v>7</v>
      </c>
      <c r="E121" s="6"/>
      <c r="F121" s="6" t="n">
        <v>195</v>
      </c>
      <c r="G121" s="6" t="n">
        <v>4.1</v>
      </c>
      <c r="H121" s="6" t="n">
        <v>4.21</v>
      </c>
      <c r="I121" s="6" t="n">
        <v>328</v>
      </c>
      <c r="J121" s="6" t="n">
        <v>278.27</v>
      </c>
      <c r="K121" s="6"/>
      <c r="L121" s="6" t="n">
        <v>0</v>
      </c>
      <c r="M121" s="6"/>
      <c r="N121" s="6"/>
      <c r="O121" s="6"/>
      <c r="P121" s="6" t="n">
        <v>0.11</v>
      </c>
      <c r="Q121" s="6" t="n">
        <v>1.02682926829268</v>
      </c>
      <c r="R121" s="6" t="s">
        <v>65</v>
      </c>
    </row>
    <row r="122" customFormat="false" ht="15" hidden="false" customHeight="false" outlineLevel="0" collapsed="false">
      <c r="A122" s="5" t="n">
        <v>46194</v>
      </c>
      <c r="B122" s="6" t="s">
        <v>50</v>
      </c>
      <c r="C122" s="6" t="s">
        <v>5</v>
      </c>
      <c r="D122" s="6"/>
      <c r="E122" s="6"/>
      <c r="F122" s="6" t="n">
        <v>1240</v>
      </c>
      <c r="G122" s="6" t="n">
        <v>19.96</v>
      </c>
      <c r="H122" s="6" t="n">
        <v>21.8</v>
      </c>
      <c r="I122" s="6" t="n">
        <v>1928.16</v>
      </c>
      <c r="J122" s="6" t="n">
        <v>1481.43</v>
      </c>
      <c r="K122" s="6" t="n">
        <v>13</v>
      </c>
      <c r="L122" s="6" t="n">
        <v>0</v>
      </c>
      <c r="M122" s="6"/>
      <c r="N122" s="6"/>
      <c r="O122" s="6"/>
      <c r="P122" s="6" t="n">
        <v>1.84</v>
      </c>
      <c r="Q122" s="6" t="n">
        <v>1.09218436873748</v>
      </c>
      <c r="R122" s="6" t="s">
        <v>66</v>
      </c>
    </row>
    <row r="123" customFormat="false" ht="15" hidden="false" customHeight="false" outlineLevel="0" collapsed="false">
      <c r="A123" s="5" t="n">
        <v>46194</v>
      </c>
      <c r="B123" s="6" t="s">
        <v>50</v>
      </c>
      <c r="C123" s="6" t="s">
        <v>35</v>
      </c>
      <c r="D123" s="6" t="n">
        <v>1</v>
      </c>
      <c r="E123" s="6"/>
      <c r="F123" s="6" t="n">
        <v>110</v>
      </c>
      <c r="G123" s="6" t="n">
        <v>1.93</v>
      </c>
      <c r="H123" s="6" t="n">
        <v>1.53</v>
      </c>
      <c r="I123" s="6" t="n">
        <v>159.53</v>
      </c>
      <c r="J123" s="6" t="n">
        <v>116.68</v>
      </c>
      <c r="K123" s="6"/>
      <c r="L123" s="6" t="n">
        <v>0</v>
      </c>
      <c r="M123" s="6"/>
      <c r="N123" s="6"/>
      <c r="O123" s="6"/>
      <c r="P123" s="6" t="n">
        <v>-0.4</v>
      </c>
      <c r="Q123" s="6" t="n">
        <v>0.792746113989637</v>
      </c>
      <c r="R123" s="6" t="s">
        <v>66</v>
      </c>
    </row>
    <row r="124" customFormat="false" ht="15" hidden="false" customHeight="false" outlineLevel="0" collapsed="false">
      <c r="A124" s="5" t="n">
        <v>46194</v>
      </c>
      <c r="B124" s="6" t="s">
        <v>50</v>
      </c>
      <c r="C124" s="6" t="s">
        <v>35</v>
      </c>
      <c r="D124" s="6" t="n">
        <v>2</v>
      </c>
      <c r="E124" s="6"/>
      <c r="F124" s="6" t="n">
        <v>110</v>
      </c>
      <c r="G124" s="6" t="n">
        <v>1.93</v>
      </c>
      <c r="H124" s="6" t="n">
        <v>1.62</v>
      </c>
      <c r="I124" s="6" t="n">
        <v>159.53</v>
      </c>
      <c r="J124" s="6" t="n">
        <v>121.32</v>
      </c>
      <c r="K124" s="6"/>
      <c r="L124" s="6" t="n">
        <v>0</v>
      </c>
      <c r="M124" s="6"/>
      <c r="N124" s="6"/>
      <c r="O124" s="6"/>
      <c r="P124" s="6" t="n">
        <v>-0.31</v>
      </c>
      <c r="Q124" s="6" t="n">
        <v>0.839378238341969</v>
      </c>
      <c r="R124" s="6" t="s">
        <v>66</v>
      </c>
    </row>
    <row r="125" customFormat="false" ht="15" hidden="false" customHeight="false" outlineLevel="0" collapsed="false">
      <c r="A125" s="5" t="n">
        <v>46194</v>
      </c>
      <c r="B125" s="6" t="s">
        <v>50</v>
      </c>
      <c r="C125" s="6" t="s">
        <v>35</v>
      </c>
      <c r="D125" s="6" t="n">
        <v>3</v>
      </c>
      <c r="E125" s="6"/>
      <c r="F125" s="6" t="n">
        <v>210</v>
      </c>
      <c r="G125" s="6" t="n">
        <v>3.9</v>
      </c>
      <c r="H125" s="6" t="n">
        <v>3.64</v>
      </c>
      <c r="I125" s="6" t="n">
        <v>322.9</v>
      </c>
      <c r="J125" s="6" t="n">
        <v>263.18</v>
      </c>
      <c r="K125" s="6"/>
      <c r="L125" s="6" t="n">
        <v>0</v>
      </c>
      <c r="M125" s="6"/>
      <c r="N125" s="6"/>
      <c r="O125" s="6"/>
      <c r="P125" s="6" t="n">
        <v>-0.26</v>
      </c>
      <c r="Q125" s="6" t="n">
        <v>0.933333333333333</v>
      </c>
      <c r="R125" s="6" t="s">
        <v>66</v>
      </c>
    </row>
    <row r="126" customFormat="false" ht="15" hidden="false" customHeight="false" outlineLevel="0" collapsed="false">
      <c r="A126" s="5" t="n">
        <v>46194</v>
      </c>
      <c r="B126" s="6" t="s">
        <v>50</v>
      </c>
      <c r="C126" s="6" t="s">
        <v>35</v>
      </c>
      <c r="D126" s="6" t="n">
        <v>4</v>
      </c>
      <c r="E126" s="6"/>
      <c r="F126" s="6" t="n">
        <v>210</v>
      </c>
      <c r="G126" s="6" t="n">
        <v>0</v>
      </c>
      <c r="H126" s="6" t="n">
        <v>3.52</v>
      </c>
      <c r="I126" s="6" t="n">
        <v>294</v>
      </c>
      <c r="J126" s="6" t="n">
        <v>117.9</v>
      </c>
      <c r="K126" s="6"/>
      <c r="L126" s="6" t="n">
        <v>0</v>
      </c>
      <c r="M126" s="6"/>
      <c r="N126" s="6"/>
      <c r="O126" s="6"/>
      <c r="P126" s="6" t="n">
        <v>3.52</v>
      </c>
      <c r="Q126" s="6"/>
      <c r="R126" s="6" t="s">
        <v>66</v>
      </c>
    </row>
    <row r="127" customFormat="false" ht="15" hidden="false" customHeight="false" outlineLevel="0" collapsed="false">
      <c r="A127" s="5" t="n">
        <v>46194</v>
      </c>
      <c r="B127" s="6" t="s">
        <v>50</v>
      </c>
      <c r="C127" s="6" t="s">
        <v>35</v>
      </c>
      <c r="D127" s="6" t="n">
        <v>5</v>
      </c>
      <c r="E127" s="6"/>
      <c r="F127" s="6" t="n">
        <v>210</v>
      </c>
      <c r="G127" s="6" t="n">
        <v>4</v>
      </c>
      <c r="H127" s="6" t="n">
        <v>3.8</v>
      </c>
      <c r="I127" s="6" t="n">
        <v>326</v>
      </c>
      <c r="J127" s="6" t="n">
        <v>257.74</v>
      </c>
      <c r="K127" s="6"/>
      <c r="L127" s="6" t="n">
        <v>0</v>
      </c>
      <c r="M127" s="6"/>
      <c r="N127" s="6"/>
      <c r="O127" s="6"/>
      <c r="P127" s="6" t="n">
        <v>-0.2</v>
      </c>
      <c r="Q127" s="6" t="n">
        <v>0.95</v>
      </c>
      <c r="R127" s="6" t="s">
        <v>66</v>
      </c>
    </row>
    <row r="128" customFormat="false" ht="15" hidden="false" customHeight="false" outlineLevel="0" collapsed="false">
      <c r="A128" s="5" t="n">
        <v>46194</v>
      </c>
      <c r="B128" s="6" t="s">
        <v>50</v>
      </c>
      <c r="C128" s="6" t="s">
        <v>35</v>
      </c>
      <c r="D128" s="6" t="n">
        <v>6</v>
      </c>
      <c r="E128" s="6"/>
      <c r="F128" s="6" t="n">
        <v>195</v>
      </c>
      <c r="G128" s="6" t="n">
        <v>4.1</v>
      </c>
      <c r="H128" s="6" t="n">
        <v>3.85</v>
      </c>
      <c r="I128" s="6" t="n">
        <v>334.1</v>
      </c>
      <c r="J128" s="6" t="n">
        <v>322.5</v>
      </c>
      <c r="K128" s="6"/>
      <c r="L128" s="6" t="n">
        <v>0</v>
      </c>
      <c r="M128" s="6"/>
      <c r="N128" s="6"/>
      <c r="O128" s="6"/>
      <c r="P128" s="6" t="n">
        <v>-0.25</v>
      </c>
      <c r="Q128" s="6" t="n">
        <v>0.939024390243903</v>
      </c>
      <c r="R128" s="6" t="s">
        <v>66</v>
      </c>
    </row>
    <row r="129" customFormat="false" ht="15" hidden="false" customHeight="false" outlineLevel="0" collapsed="false">
      <c r="A129" s="5" t="n">
        <v>46194</v>
      </c>
      <c r="B129" s="6" t="s">
        <v>50</v>
      </c>
      <c r="C129" s="6" t="s">
        <v>35</v>
      </c>
      <c r="D129" s="6" t="n">
        <v>7</v>
      </c>
      <c r="E129" s="6"/>
      <c r="F129" s="6" t="n">
        <v>195</v>
      </c>
      <c r="G129" s="6" t="n">
        <v>4.1</v>
      </c>
      <c r="H129" s="6" t="n">
        <v>3.84</v>
      </c>
      <c r="I129" s="6" t="n">
        <v>332.1</v>
      </c>
      <c r="J129" s="6" t="n">
        <v>282.11</v>
      </c>
      <c r="K129" s="6"/>
      <c r="L129" s="6" t="n">
        <v>0</v>
      </c>
      <c r="M129" s="6"/>
      <c r="N129" s="6"/>
      <c r="O129" s="6"/>
      <c r="P129" s="6" t="n">
        <v>-0.26</v>
      </c>
      <c r="Q129" s="6" t="n">
        <v>0.936585365853659</v>
      </c>
      <c r="R129" s="6" t="s">
        <v>66</v>
      </c>
    </row>
    <row r="130" customFormat="false" ht="15" hidden="false" customHeight="false" outlineLevel="0" collapsed="false">
      <c r="A130" s="5" t="n">
        <v>46195</v>
      </c>
      <c r="B130" s="6" t="s">
        <v>50</v>
      </c>
      <c r="C130" s="6" t="s">
        <v>5</v>
      </c>
      <c r="D130" s="6"/>
      <c r="E130" s="6"/>
      <c r="F130" s="6" t="n">
        <v>1240</v>
      </c>
      <c r="G130" s="6" t="n">
        <v>19.96</v>
      </c>
      <c r="H130" s="6" t="n">
        <v>21.79</v>
      </c>
      <c r="I130" s="6" t="n">
        <v>1948.12</v>
      </c>
      <c r="J130" s="6" t="n">
        <v>1503.22</v>
      </c>
      <c r="K130" s="6" t="n">
        <v>12</v>
      </c>
      <c r="L130" s="6" t="n">
        <v>0</v>
      </c>
      <c r="M130" s="6"/>
      <c r="N130" s="6"/>
      <c r="O130" s="6"/>
      <c r="P130" s="6" t="n">
        <v>1.83</v>
      </c>
      <c r="Q130" s="6" t="n">
        <v>1.09168336673347</v>
      </c>
      <c r="R130" s="6" t="s">
        <v>67</v>
      </c>
    </row>
    <row r="131" customFormat="false" ht="15" hidden="false" customHeight="false" outlineLevel="0" collapsed="false">
      <c r="A131" s="5" t="n">
        <v>46195</v>
      </c>
      <c r="B131" s="6" t="s">
        <v>50</v>
      </c>
      <c r="C131" s="6" t="s">
        <v>35</v>
      </c>
      <c r="D131" s="6" t="n">
        <v>1</v>
      </c>
      <c r="E131" s="6"/>
      <c r="F131" s="6" t="n">
        <v>110</v>
      </c>
      <c r="G131" s="6" t="n">
        <v>1.93</v>
      </c>
      <c r="H131" s="6" t="n">
        <v>1.56</v>
      </c>
      <c r="I131" s="6" t="n">
        <v>161.46</v>
      </c>
      <c r="J131" s="6" t="n">
        <v>118.24</v>
      </c>
      <c r="K131" s="6"/>
      <c r="L131" s="6" t="n">
        <v>0</v>
      </c>
      <c r="M131" s="6"/>
      <c r="N131" s="6"/>
      <c r="O131" s="6"/>
      <c r="P131" s="6" t="n">
        <v>-0.37</v>
      </c>
      <c r="Q131" s="6" t="n">
        <v>0.808290155440415</v>
      </c>
      <c r="R131" s="6" t="s">
        <v>67</v>
      </c>
    </row>
    <row r="132" customFormat="false" ht="15" hidden="false" customHeight="false" outlineLevel="0" collapsed="false">
      <c r="A132" s="5" t="n">
        <v>46195</v>
      </c>
      <c r="B132" s="6" t="s">
        <v>50</v>
      </c>
      <c r="C132" s="6" t="s">
        <v>35</v>
      </c>
      <c r="D132" s="6" t="n">
        <v>2</v>
      </c>
      <c r="E132" s="6"/>
      <c r="F132" s="6" t="n">
        <v>110</v>
      </c>
      <c r="G132" s="6" t="n">
        <v>1.93</v>
      </c>
      <c r="H132" s="6" t="n">
        <v>1.62</v>
      </c>
      <c r="I132" s="6" t="n">
        <v>161.46</v>
      </c>
      <c r="J132" s="6" t="n">
        <v>122.94</v>
      </c>
      <c r="K132" s="6"/>
      <c r="L132" s="6" t="n">
        <v>0</v>
      </c>
      <c r="M132" s="6"/>
      <c r="N132" s="6"/>
      <c r="O132" s="6"/>
      <c r="P132" s="6" t="n">
        <v>-0.31</v>
      </c>
      <c r="Q132" s="6" t="n">
        <v>0.839378238341969</v>
      </c>
      <c r="R132" s="6" t="s">
        <v>67</v>
      </c>
    </row>
    <row r="133" customFormat="false" ht="15" hidden="false" customHeight="false" outlineLevel="0" collapsed="false">
      <c r="A133" s="5" t="n">
        <v>46195</v>
      </c>
      <c r="B133" s="6" t="s">
        <v>50</v>
      </c>
      <c r="C133" s="6" t="s">
        <v>35</v>
      </c>
      <c r="D133" s="6" t="n">
        <v>3</v>
      </c>
      <c r="E133" s="6"/>
      <c r="F133" s="6" t="n">
        <v>210</v>
      </c>
      <c r="G133" s="6" t="n">
        <v>3.9</v>
      </c>
      <c r="H133" s="6" t="n">
        <v>3.67</v>
      </c>
      <c r="I133" s="6" t="n">
        <v>326.8</v>
      </c>
      <c r="J133" s="6" t="n">
        <v>266.85</v>
      </c>
      <c r="K133" s="6"/>
      <c r="L133" s="6" t="n">
        <v>0</v>
      </c>
      <c r="M133" s="6"/>
      <c r="N133" s="6"/>
      <c r="O133" s="6"/>
      <c r="P133" s="6" t="n">
        <v>-0.23</v>
      </c>
      <c r="Q133" s="6" t="n">
        <v>0.941025641025641</v>
      </c>
      <c r="R133" s="6" t="s">
        <v>67</v>
      </c>
    </row>
    <row r="134" customFormat="false" ht="15" hidden="false" customHeight="false" outlineLevel="0" collapsed="false">
      <c r="A134" s="5" t="n">
        <v>46195</v>
      </c>
      <c r="B134" s="6" t="s">
        <v>50</v>
      </c>
      <c r="C134" s="6" t="s">
        <v>35</v>
      </c>
      <c r="D134" s="6" t="n">
        <v>4</v>
      </c>
      <c r="E134" s="6"/>
      <c r="F134" s="6" t="n">
        <v>210</v>
      </c>
      <c r="G134" s="6" t="n">
        <v>0</v>
      </c>
      <c r="H134" s="6" t="n">
        <v>3.48</v>
      </c>
      <c r="I134" s="6" t="n">
        <v>294</v>
      </c>
      <c r="J134" s="6" t="n">
        <v>121.38</v>
      </c>
      <c r="K134" s="6"/>
      <c r="L134" s="6" t="n">
        <v>0</v>
      </c>
      <c r="M134" s="6"/>
      <c r="N134" s="6"/>
      <c r="O134" s="6"/>
      <c r="P134" s="6" t="n">
        <v>3.48</v>
      </c>
      <c r="Q134" s="6"/>
      <c r="R134" s="6" t="s">
        <v>67</v>
      </c>
    </row>
    <row r="135" customFormat="false" ht="15" hidden="false" customHeight="false" outlineLevel="0" collapsed="false">
      <c r="A135" s="5" t="n">
        <v>46195</v>
      </c>
      <c r="B135" s="6" t="s">
        <v>50</v>
      </c>
      <c r="C135" s="6" t="s">
        <v>35</v>
      </c>
      <c r="D135" s="6" t="n">
        <v>5</v>
      </c>
      <c r="E135" s="6"/>
      <c r="F135" s="6" t="n">
        <v>210</v>
      </c>
      <c r="G135" s="6" t="n">
        <v>4</v>
      </c>
      <c r="H135" s="6" t="n">
        <v>3.83</v>
      </c>
      <c r="I135" s="6" t="n">
        <v>330</v>
      </c>
      <c r="J135" s="6" t="n">
        <v>261.57</v>
      </c>
      <c r="K135" s="6"/>
      <c r="L135" s="6" t="n">
        <v>0</v>
      </c>
      <c r="M135" s="6"/>
      <c r="N135" s="6"/>
      <c r="O135" s="6"/>
      <c r="P135" s="6" t="n">
        <v>-0.17</v>
      </c>
      <c r="Q135" s="6" t="n">
        <v>0.9575</v>
      </c>
      <c r="R135" s="6" t="s">
        <v>67</v>
      </c>
    </row>
    <row r="136" customFormat="false" ht="15" hidden="false" customHeight="false" outlineLevel="0" collapsed="false">
      <c r="A136" s="5" t="n">
        <v>46195</v>
      </c>
      <c r="B136" s="6" t="s">
        <v>50</v>
      </c>
      <c r="C136" s="6" t="s">
        <v>35</v>
      </c>
      <c r="D136" s="6" t="n">
        <v>6</v>
      </c>
      <c r="E136" s="6"/>
      <c r="F136" s="6" t="n">
        <v>195</v>
      </c>
      <c r="G136" s="6" t="n">
        <v>4.1</v>
      </c>
      <c r="H136" s="6" t="n">
        <v>3.86</v>
      </c>
      <c r="I136" s="6" t="n">
        <v>338.2</v>
      </c>
      <c r="J136" s="6" t="n">
        <v>326.36</v>
      </c>
      <c r="K136" s="6"/>
      <c r="L136" s="6" t="n">
        <v>0</v>
      </c>
      <c r="M136" s="6"/>
      <c r="N136" s="6"/>
      <c r="O136" s="6"/>
      <c r="P136" s="6" t="n">
        <v>-0.24</v>
      </c>
      <c r="Q136" s="6" t="n">
        <v>0.941463414634146</v>
      </c>
      <c r="R136" s="6" t="s">
        <v>67</v>
      </c>
    </row>
    <row r="137" customFormat="false" ht="15" hidden="false" customHeight="false" outlineLevel="0" collapsed="false">
      <c r="A137" s="5" t="n">
        <v>46195</v>
      </c>
      <c r="B137" s="6" t="s">
        <v>50</v>
      </c>
      <c r="C137" s="6" t="s">
        <v>35</v>
      </c>
      <c r="D137" s="6" t="n">
        <v>7</v>
      </c>
      <c r="E137" s="6"/>
      <c r="F137" s="6" t="n">
        <v>195</v>
      </c>
      <c r="G137" s="6" t="n">
        <v>4.1</v>
      </c>
      <c r="H137" s="6" t="n">
        <v>3.77</v>
      </c>
      <c r="I137" s="6" t="n">
        <v>336.2</v>
      </c>
      <c r="J137" s="6" t="n">
        <v>285.88</v>
      </c>
      <c r="K137" s="6"/>
      <c r="L137" s="6" t="n">
        <v>0</v>
      </c>
      <c r="M137" s="6"/>
      <c r="N137" s="6"/>
      <c r="O137" s="6"/>
      <c r="P137" s="6" t="n">
        <v>-0.33</v>
      </c>
      <c r="Q137" s="6" t="n">
        <v>0.919512195121951</v>
      </c>
      <c r="R137" s="6" t="s">
        <v>67</v>
      </c>
    </row>
    <row r="138" customFormat="false" ht="15" hidden="false" customHeight="false" outlineLevel="0" collapsed="false">
      <c r="A138" s="5" t="n">
        <v>46196</v>
      </c>
      <c r="B138" s="6" t="s">
        <v>50</v>
      </c>
      <c r="C138" s="6" t="s">
        <v>5</v>
      </c>
      <c r="D138" s="6"/>
      <c r="E138" s="6"/>
      <c r="F138" s="6" t="n">
        <v>1240</v>
      </c>
      <c r="G138" s="6" t="n">
        <v>19.96</v>
      </c>
      <c r="H138" s="6" t="n">
        <v>22.3</v>
      </c>
      <c r="I138" s="6" t="n">
        <v>1968.08</v>
      </c>
      <c r="J138" s="6" t="n">
        <v>1525.52</v>
      </c>
      <c r="K138" s="6" t="n">
        <v>12</v>
      </c>
      <c r="L138" s="6" t="n">
        <v>0</v>
      </c>
      <c r="M138" s="6"/>
      <c r="N138" s="6"/>
      <c r="O138" s="6"/>
      <c r="P138" s="6" t="n">
        <v>2.34</v>
      </c>
      <c r="Q138" s="6" t="n">
        <v>1.11723446893788</v>
      </c>
      <c r="R138" s="6" t="s">
        <v>68</v>
      </c>
    </row>
    <row r="139" customFormat="false" ht="15" hidden="false" customHeight="false" outlineLevel="0" collapsed="false">
      <c r="A139" s="5" t="n">
        <v>46196</v>
      </c>
      <c r="B139" s="6" t="s">
        <v>50</v>
      </c>
      <c r="C139" s="6" t="s">
        <v>35</v>
      </c>
      <c r="D139" s="6" t="n">
        <v>1</v>
      </c>
      <c r="E139" s="6"/>
      <c r="F139" s="6" t="n">
        <v>110</v>
      </c>
      <c r="G139" s="6" t="n">
        <v>1.93</v>
      </c>
      <c r="H139" s="6" t="n">
        <v>1.63</v>
      </c>
      <c r="I139" s="6" t="n">
        <v>163.39</v>
      </c>
      <c r="J139" s="6" t="n">
        <v>119.87</v>
      </c>
      <c r="K139" s="6"/>
      <c r="L139" s="6" t="n">
        <v>0</v>
      </c>
      <c r="M139" s="6"/>
      <c r="N139" s="6"/>
      <c r="O139" s="6"/>
      <c r="P139" s="6" t="n">
        <v>-0.3</v>
      </c>
      <c r="Q139" s="6" t="n">
        <v>0.844559585492228</v>
      </c>
      <c r="R139" s="6" t="s">
        <v>68</v>
      </c>
    </row>
    <row r="140" customFormat="false" ht="15" hidden="false" customHeight="false" outlineLevel="0" collapsed="false">
      <c r="A140" s="5" t="n">
        <v>46196</v>
      </c>
      <c r="B140" s="6" t="s">
        <v>50</v>
      </c>
      <c r="C140" s="6" t="s">
        <v>35</v>
      </c>
      <c r="D140" s="6" t="n">
        <v>2</v>
      </c>
      <c r="E140" s="6"/>
      <c r="F140" s="6" t="n">
        <v>110</v>
      </c>
      <c r="G140" s="6" t="n">
        <v>1.93</v>
      </c>
      <c r="H140" s="6" t="n">
        <v>1.67</v>
      </c>
      <c r="I140" s="6" t="n">
        <v>163.39</v>
      </c>
      <c r="J140" s="6" t="n">
        <v>124.61</v>
      </c>
      <c r="K140" s="6"/>
      <c r="L140" s="6" t="n">
        <v>0</v>
      </c>
      <c r="M140" s="6"/>
      <c r="N140" s="6"/>
      <c r="O140" s="6"/>
      <c r="P140" s="6" t="n">
        <v>-0.26</v>
      </c>
      <c r="Q140" s="6" t="n">
        <v>0.865284974093264</v>
      </c>
      <c r="R140" s="6" t="s">
        <v>68</v>
      </c>
    </row>
    <row r="141" customFormat="false" ht="15" hidden="false" customHeight="false" outlineLevel="0" collapsed="false">
      <c r="A141" s="5" t="n">
        <v>46196</v>
      </c>
      <c r="B141" s="6" t="s">
        <v>50</v>
      </c>
      <c r="C141" s="6" t="s">
        <v>35</v>
      </c>
      <c r="D141" s="6" t="n">
        <v>3</v>
      </c>
      <c r="E141" s="6"/>
      <c r="F141" s="6" t="n">
        <v>210</v>
      </c>
      <c r="G141" s="6" t="n">
        <v>3.9</v>
      </c>
      <c r="H141" s="6" t="n">
        <v>3.76</v>
      </c>
      <c r="I141" s="6" t="n">
        <v>330.7</v>
      </c>
      <c r="J141" s="6" t="n">
        <v>270.61</v>
      </c>
      <c r="K141" s="6"/>
      <c r="L141" s="6" t="n">
        <v>0</v>
      </c>
      <c r="M141" s="6"/>
      <c r="N141" s="6"/>
      <c r="O141" s="6"/>
      <c r="P141" s="6" t="n">
        <v>-0.14</v>
      </c>
      <c r="Q141" s="6" t="n">
        <v>0.964102564102564</v>
      </c>
      <c r="R141" s="6" t="s">
        <v>68</v>
      </c>
    </row>
    <row r="142" customFormat="false" ht="15" hidden="false" customHeight="false" outlineLevel="0" collapsed="false">
      <c r="A142" s="5" t="n">
        <v>46196</v>
      </c>
      <c r="B142" s="6" t="s">
        <v>50</v>
      </c>
      <c r="C142" s="6" t="s">
        <v>35</v>
      </c>
      <c r="D142" s="6" t="n">
        <v>4</v>
      </c>
      <c r="E142" s="6"/>
      <c r="F142" s="6" t="n">
        <v>210</v>
      </c>
      <c r="G142" s="6" t="n">
        <v>0</v>
      </c>
      <c r="H142" s="6" t="n">
        <v>3.56</v>
      </c>
      <c r="I142" s="6" t="n">
        <v>294</v>
      </c>
      <c r="J142" s="6" t="n">
        <v>124.94</v>
      </c>
      <c r="K142" s="6"/>
      <c r="L142" s="6" t="n">
        <v>0</v>
      </c>
      <c r="M142" s="6"/>
      <c r="N142" s="6"/>
      <c r="O142" s="6"/>
      <c r="P142" s="6" t="n">
        <v>3.56</v>
      </c>
      <c r="Q142" s="6"/>
      <c r="R142" s="6" t="s">
        <v>68</v>
      </c>
    </row>
    <row r="143" customFormat="false" ht="15" hidden="false" customHeight="false" outlineLevel="0" collapsed="false">
      <c r="A143" s="5" t="n">
        <v>46196</v>
      </c>
      <c r="B143" s="6" t="s">
        <v>50</v>
      </c>
      <c r="C143" s="6" t="s">
        <v>35</v>
      </c>
      <c r="D143" s="6" t="n">
        <v>5</v>
      </c>
      <c r="E143" s="6"/>
      <c r="F143" s="6" t="n">
        <v>210</v>
      </c>
      <c r="G143" s="6" t="n">
        <v>4</v>
      </c>
      <c r="H143" s="6" t="n">
        <v>3.96</v>
      </c>
      <c r="I143" s="6" t="n">
        <v>334</v>
      </c>
      <c r="J143" s="6" t="n">
        <v>265.53</v>
      </c>
      <c r="K143" s="6"/>
      <c r="L143" s="6" t="n">
        <v>0</v>
      </c>
      <c r="M143" s="6"/>
      <c r="N143" s="6"/>
      <c r="O143" s="6"/>
      <c r="P143" s="6" t="n">
        <v>-0.04</v>
      </c>
      <c r="Q143" s="6" t="n">
        <v>0.99</v>
      </c>
      <c r="R143" s="6" t="s">
        <v>68</v>
      </c>
    </row>
    <row r="144" customFormat="false" ht="15" hidden="false" customHeight="false" outlineLevel="0" collapsed="false">
      <c r="A144" s="5" t="n">
        <v>46196</v>
      </c>
      <c r="B144" s="6" t="s">
        <v>50</v>
      </c>
      <c r="C144" s="6" t="s">
        <v>35</v>
      </c>
      <c r="D144" s="6" t="n">
        <v>6</v>
      </c>
      <c r="E144" s="6"/>
      <c r="F144" s="6" t="n">
        <v>195</v>
      </c>
      <c r="G144" s="6" t="n">
        <v>4.1</v>
      </c>
      <c r="H144" s="6" t="n">
        <v>3.85</v>
      </c>
      <c r="I144" s="6" t="n">
        <v>342.300000000001</v>
      </c>
      <c r="J144" s="6" t="n">
        <v>330.21</v>
      </c>
      <c r="K144" s="6"/>
      <c r="L144" s="6" t="n">
        <v>0</v>
      </c>
      <c r="M144" s="6"/>
      <c r="N144" s="6"/>
      <c r="O144" s="6"/>
      <c r="P144" s="6" t="n">
        <v>-0.25</v>
      </c>
      <c r="Q144" s="6" t="n">
        <v>0.939024390243903</v>
      </c>
      <c r="R144" s="6" t="s">
        <v>68</v>
      </c>
    </row>
    <row r="145" customFormat="false" ht="15" hidden="false" customHeight="false" outlineLevel="0" collapsed="false">
      <c r="A145" s="5" t="n">
        <v>46196</v>
      </c>
      <c r="B145" s="6" t="s">
        <v>50</v>
      </c>
      <c r="C145" s="6" t="s">
        <v>35</v>
      </c>
      <c r="D145" s="6" t="n">
        <v>7</v>
      </c>
      <c r="E145" s="6"/>
      <c r="F145" s="6" t="n">
        <v>195</v>
      </c>
      <c r="G145" s="6" t="n">
        <v>4.1</v>
      </c>
      <c r="H145" s="6" t="n">
        <v>3.87</v>
      </c>
      <c r="I145" s="6" t="n">
        <v>340.300000000001</v>
      </c>
      <c r="J145" s="6" t="n">
        <v>289.75</v>
      </c>
      <c r="K145" s="6"/>
      <c r="L145" s="6" t="n">
        <v>0</v>
      </c>
      <c r="M145" s="6"/>
      <c r="N145" s="6"/>
      <c r="O145" s="6"/>
      <c r="P145" s="6" t="n">
        <v>-0.23</v>
      </c>
      <c r="Q145" s="6" t="n">
        <v>0.94390243902439</v>
      </c>
      <c r="R145" s="6" t="s">
        <v>68</v>
      </c>
    </row>
    <row r="146" customFormat="false" ht="15" hidden="false" customHeight="false" outlineLevel="0" collapsed="false">
      <c r="A146" s="5" t="n">
        <v>46197</v>
      </c>
      <c r="B146" s="6" t="s">
        <v>50</v>
      </c>
      <c r="C146" s="6" t="s">
        <v>5</v>
      </c>
      <c r="D146" s="6"/>
      <c r="E146" s="6"/>
      <c r="F146" s="6" t="n">
        <v>1240</v>
      </c>
      <c r="G146" s="6" t="n">
        <v>19.96</v>
      </c>
      <c r="H146" s="6" t="n">
        <v>22.02</v>
      </c>
      <c r="I146" s="6" t="n">
        <v>1988.04</v>
      </c>
      <c r="J146" s="6" t="n">
        <v>1547.54</v>
      </c>
      <c r="K146" s="6" t="n">
        <v>11</v>
      </c>
      <c r="L146" s="6" t="n">
        <v>0</v>
      </c>
      <c r="M146" s="6"/>
      <c r="N146" s="6"/>
      <c r="O146" s="6"/>
      <c r="P146" s="6" t="n">
        <v>2.06</v>
      </c>
      <c r="Q146" s="6" t="n">
        <v>1.10320641282565</v>
      </c>
      <c r="R146" s="6" t="s">
        <v>69</v>
      </c>
    </row>
    <row r="147" customFormat="false" ht="15" hidden="false" customHeight="false" outlineLevel="0" collapsed="false">
      <c r="A147" s="5" t="n">
        <v>46197</v>
      </c>
      <c r="B147" s="6" t="s">
        <v>50</v>
      </c>
      <c r="C147" s="6" t="s">
        <v>35</v>
      </c>
      <c r="D147" s="6" t="n">
        <v>1</v>
      </c>
      <c r="E147" s="6"/>
      <c r="F147" s="6" t="n">
        <v>110</v>
      </c>
      <c r="G147" s="6" t="n">
        <v>1.93</v>
      </c>
      <c r="H147" s="6" t="n">
        <v>1.58</v>
      </c>
      <c r="I147" s="6" t="n">
        <v>165.32</v>
      </c>
      <c r="J147" s="6" t="n">
        <v>121.45</v>
      </c>
      <c r="K147" s="6"/>
      <c r="L147" s="6" t="n">
        <v>0</v>
      </c>
      <c r="M147" s="6"/>
      <c r="N147" s="6"/>
      <c r="O147" s="6"/>
      <c r="P147" s="6" t="n">
        <v>-0.35</v>
      </c>
      <c r="Q147" s="6" t="n">
        <v>0.818652849740933</v>
      </c>
      <c r="R147" s="6" t="s">
        <v>69</v>
      </c>
    </row>
    <row r="148" customFormat="false" ht="15" hidden="false" customHeight="false" outlineLevel="0" collapsed="false">
      <c r="A148" s="5" t="n">
        <v>46197</v>
      </c>
      <c r="B148" s="6" t="s">
        <v>50</v>
      </c>
      <c r="C148" s="6" t="s">
        <v>35</v>
      </c>
      <c r="D148" s="6" t="n">
        <v>2</v>
      </c>
      <c r="E148" s="6"/>
      <c r="F148" s="6" t="n">
        <v>110</v>
      </c>
      <c r="G148" s="6" t="n">
        <v>1.93</v>
      </c>
      <c r="H148" s="6" t="n">
        <v>1.61</v>
      </c>
      <c r="I148" s="6" t="n">
        <v>165.32</v>
      </c>
      <c r="J148" s="6" t="n">
        <v>126.22</v>
      </c>
      <c r="K148" s="6"/>
      <c r="L148" s="6" t="n">
        <v>0</v>
      </c>
      <c r="M148" s="6"/>
      <c r="N148" s="6"/>
      <c r="O148" s="6"/>
      <c r="P148" s="6" t="n">
        <v>-0.32</v>
      </c>
      <c r="Q148" s="6" t="n">
        <v>0.83419689119171</v>
      </c>
      <c r="R148" s="6" t="s">
        <v>69</v>
      </c>
    </row>
    <row r="149" customFormat="false" ht="15" hidden="false" customHeight="false" outlineLevel="0" collapsed="false">
      <c r="A149" s="5" t="n">
        <v>46197</v>
      </c>
      <c r="B149" s="6" t="s">
        <v>50</v>
      </c>
      <c r="C149" s="6" t="s">
        <v>35</v>
      </c>
      <c r="D149" s="6" t="n">
        <v>3</v>
      </c>
      <c r="E149" s="6"/>
      <c r="F149" s="6" t="n">
        <v>210</v>
      </c>
      <c r="G149" s="6" t="n">
        <v>3.9</v>
      </c>
      <c r="H149" s="6" t="n">
        <v>3.69</v>
      </c>
      <c r="I149" s="6" t="n">
        <v>334.6</v>
      </c>
      <c r="J149" s="6" t="n">
        <v>274.3</v>
      </c>
      <c r="K149" s="6"/>
      <c r="L149" s="6" t="n">
        <v>0</v>
      </c>
      <c r="M149" s="6"/>
      <c r="N149" s="6"/>
      <c r="O149" s="6"/>
      <c r="P149" s="6" t="n">
        <v>-0.21</v>
      </c>
      <c r="Q149" s="6" t="n">
        <v>0.946153846153846</v>
      </c>
      <c r="R149" s="6" t="s">
        <v>69</v>
      </c>
    </row>
    <row r="150" customFormat="false" ht="15" hidden="false" customHeight="false" outlineLevel="0" collapsed="false">
      <c r="A150" s="5" t="n">
        <v>46197</v>
      </c>
      <c r="B150" s="6" t="s">
        <v>50</v>
      </c>
      <c r="C150" s="6" t="s">
        <v>35</v>
      </c>
      <c r="D150" s="6" t="n">
        <v>4</v>
      </c>
      <c r="E150" s="6"/>
      <c r="F150" s="6" t="n">
        <v>210</v>
      </c>
      <c r="G150" s="6" t="n">
        <v>0</v>
      </c>
      <c r="H150" s="6" t="n">
        <v>3.51</v>
      </c>
      <c r="I150" s="6" t="n">
        <v>294</v>
      </c>
      <c r="J150" s="6" t="n">
        <v>128.45</v>
      </c>
      <c r="K150" s="6"/>
      <c r="L150" s="6" t="n">
        <v>0</v>
      </c>
      <c r="M150" s="6"/>
      <c r="N150" s="6"/>
      <c r="O150" s="6"/>
      <c r="P150" s="6" t="n">
        <v>3.51</v>
      </c>
      <c r="Q150" s="6"/>
      <c r="R150" s="6" t="s">
        <v>69</v>
      </c>
    </row>
    <row r="151" customFormat="false" ht="15" hidden="false" customHeight="false" outlineLevel="0" collapsed="false">
      <c r="A151" s="5" t="n">
        <v>46197</v>
      </c>
      <c r="B151" s="6" t="s">
        <v>50</v>
      </c>
      <c r="C151" s="6" t="s">
        <v>35</v>
      </c>
      <c r="D151" s="6" t="n">
        <v>5</v>
      </c>
      <c r="E151" s="6"/>
      <c r="F151" s="6" t="n">
        <v>210</v>
      </c>
      <c r="G151" s="6" t="n">
        <v>4</v>
      </c>
      <c r="H151" s="6" t="n">
        <v>3.86</v>
      </c>
      <c r="I151" s="6" t="n">
        <v>338</v>
      </c>
      <c r="J151" s="6" t="n">
        <v>269.39</v>
      </c>
      <c r="K151" s="6"/>
      <c r="L151" s="6" t="n">
        <v>0</v>
      </c>
      <c r="M151" s="6"/>
      <c r="N151" s="6"/>
      <c r="O151" s="6"/>
      <c r="P151" s="6" t="n">
        <v>-0.14</v>
      </c>
      <c r="Q151" s="6" t="n">
        <v>0.965</v>
      </c>
      <c r="R151" s="6" t="s">
        <v>69</v>
      </c>
    </row>
    <row r="152" customFormat="false" ht="15" hidden="false" customHeight="false" outlineLevel="0" collapsed="false">
      <c r="A152" s="5" t="n">
        <v>46197</v>
      </c>
      <c r="B152" s="6" t="s">
        <v>50</v>
      </c>
      <c r="C152" s="6" t="s">
        <v>35</v>
      </c>
      <c r="D152" s="6" t="n">
        <v>6</v>
      </c>
      <c r="E152" s="6"/>
      <c r="F152" s="6" t="n">
        <v>195</v>
      </c>
      <c r="G152" s="6" t="n">
        <v>4.1</v>
      </c>
      <c r="H152" s="6" t="n">
        <v>3.84</v>
      </c>
      <c r="I152" s="6" t="n">
        <v>346.400000000001</v>
      </c>
      <c r="J152" s="6" t="n">
        <v>334.05</v>
      </c>
      <c r="K152" s="6"/>
      <c r="L152" s="6" t="n">
        <v>0</v>
      </c>
      <c r="M152" s="6"/>
      <c r="N152" s="6"/>
      <c r="O152" s="6"/>
      <c r="P152" s="6" t="n">
        <v>-0.26</v>
      </c>
      <c r="Q152" s="6" t="n">
        <v>0.936585365853659</v>
      </c>
      <c r="R152" s="6" t="s">
        <v>69</v>
      </c>
    </row>
    <row r="153" customFormat="false" ht="15" hidden="false" customHeight="false" outlineLevel="0" collapsed="false">
      <c r="A153" s="5" t="n">
        <v>46197</v>
      </c>
      <c r="B153" s="6" t="s">
        <v>50</v>
      </c>
      <c r="C153" s="6" t="s">
        <v>35</v>
      </c>
      <c r="D153" s="6" t="n">
        <v>7</v>
      </c>
      <c r="E153" s="6"/>
      <c r="F153" s="6" t="n">
        <v>195</v>
      </c>
      <c r="G153" s="6" t="n">
        <v>4.1</v>
      </c>
      <c r="H153" s="6" t="n">
        <v>3.93</v>
      </c>
      <c r="I153" s="6" t="n">
        <v>344.400000000001</v>
      </c>
      <c r="J153" s="6" t="n">
        <v>293.68</v>
      </c>
      <c r="K153" s="6"/>
      <c r="L153" s="6" t="n">
        <v>0</v>
      </c>
      <c r="M153" s="6"/>
      <c r="N153" s="6"/>
      <c r="O153" s="6"/>
      <c r="P153" s="6" t="n">
        <v>-0.17</v>
      </c>
      <c r="Q153" s="6" t="n">
        <v>0.958536585365854</v>
      </c>
      <c r="R153" s="6" t="s">
        <v>69</v>
      </c>
    </row>
    <row r="154" customFormat="false" ht="15" hidden="false" customHeight="false" outlineLevel="0" collapsed="false">
      <c r="A154" s="5" t="n">
        <v>46198</v>
      </c>
      <c r="B154" s="6" t="s">
        <v>50</v>
      </c>
      <c r="C154" s="6" t="s">
        <v>5</v>
      </c>
      <c r="D154" s="6"/>
      <c r="E154" s="6"/>
      <c r="F154" s="6" t="n">
        <v>1240</v>
      </c>
      <c r="G154" s="6" t="n">
        <v>19.96</v>
      </c>
      <c r="H154" s="6" t="n">
        <v>22.35</v>
      </c>
      <c r="I154" s="6" t="n">
        <v>2008</v>
      </c>
      <c r="J154" s="6" t="n">
        <v>1569.89</v>
      </c>
      <c r="K154" s="6" t="n">
        <v>11</v>
      </c>
      <c r="L154" s="6" t="n">
        <v>0</v>
      </c>
      <c r="M154" s="6"/>
      <c r="N154" s="6"/>
      <c r="O154" s="6"/>
      <c r="P154" s="6" t="n">
        <v>2.39</v>
      </c>
      <c r="Q154" s="6" t="n">
        <v>1.11973947895792</v>
      </c>
      <c r="R154" s="6" t="s">
        <v>70</v>
      </c>
    </row>
    <row r="155" customFormat="false" ht="15" hidden="false" customHeight="false" outlineLevel="0" collapsed="false">
      <c r="A155" s="5" t="n">
        <v>46198</v>
      </c>
      <c r="B155" s="6" t="s">
        <v>50</v>
      </c>
      <c r="C155" s="6" t="s">
        <v>35</v>
      </c>
      <c r="D155" s="6" t="n">
        <v>1</v>
      </c>
      <c r="E155" s="6"/>
      <c r="F155" s="6" t="n">
        <v>110</v>
      </c>
      <c r="G155" s="6" t="n">
        <v>1.93</v>
      </c>
      <c r="H155" s="6" t="n">
        <v>1.6</v>
      </c>
      <c r="I155" s="6" t="n">
        <v>167.25</v>
      </c>
      <c r="J155" s="6" t="n">
        <v>123.05</v>
      </c>
      <c r="K155" s="6"/>
      <c r="L155" s="6" t="n">
        <v>0</v>
      </c>
      <c r="M155" s="6"/>
      <c r="N155" s="6"/>
      <c r="O155" s="6"/>
      <c r="P155" s="6" t="n">
        <v>-0.33</v>
      </c>
      <c r="Q155" s="6" t="n">
        <v>0.829015544041451</v>
      </c>
      <c r="R155" s="6" t="s">
        <v>70</v>
      </c>
    </row>
    <row r="156" customFormat="false" ht="15" hidden="false" customHeight="false" outlineLevel="0" collapsed="false">
      <c r="A156" s="5" t="n">
        <v>46198</v>
      </c>
      <c r="B156" s="6" t="s">
        <v>50</v>
      </c>
      <c r="C156" s="6" t="s">
        <v>35</v>
      </c>
      <c r="D156" s="6" t="n">
        <v>2</v>
      </c>
      <c r="E156" s="6"/>
      <c r="F156" s="6" t="n">
        <v>110</v>
      </c>
      <c r="G156" s="6" t="n">
        <v>1.93</v>
      </c>
      <c r="H156" s="6" t="n">
        <v>1.65</v>
      </c>
      <c r="I156" s="6" t="n">
        <v>167.25</v>
      </c>
      <c r="J156" s="6" t="n">
        <v>127.87</v>
      </c>
      <c r="K156" s="6"/>
      <c r="L156" s="6" t="n">
        <v>0</v>
      </c>
      <c r="M156" s="6"/>
      <c r="N156" s="6"/>
      <c r="O156" s="6"/>
      <c r="P156" s="6" t="n">
        <v>-0.28</v>
      </c>
      <c r="Q156" s="6" t="n">
        <v>0.854922279792746</v>
      </c>
      <c r="R156" s="6" t="s">
        <v>70</v>
      </c>
    </row>
    <row r="157" customFormat="false" ht="15" hidden="false" customHeight="false" outlineLevel="0" collapsed="false">
      <c r="A157" s="5" t="n">
        <v>46198</v>
      </c>
      <c r="B157" s="6" t="s">
        <v>50</v>
      </c>
      <c r="C157" s="6" t="s">
        <v>35</v>
      </c>
      <c r="D157" s="6" t="n">
        <v>3</v>
      </c>
      <c r="E157" s="6"/>
      <c r="F157" s="6" t="n">
        <v>210</v>
      </c>
      <c r="G157" s="6" t="n">
        <v>3.9</v>
      </c>
      <c r="H157" s="6" t="n">
        <v>3.89</v>
      </c>
      <c r="I157" s="6" t="n">
        <v>338.5</v>
      </c>
      <c r="J157" s="6" t="n">
        <v>278.19</v>
      </c>
      <c r="K157" s="6"/>
      <c r="L157" s="6" t="n">
        <v>0</v>
      </c>
      <c r="M157" s="6"/>
      <c r="N157" s="6"/>
      <c r="O157" s="6"/>
      <c r="P157" s="6" t="n">
        <v>-0.00999999999999979</v>
      </c>
      <c r="Q157" s="6" t="n">
        <v>0.997435897435897</v>
      </c>
      <c r="R157" s="6" t="s">
        <v>70</v>
      </c>
    </row>
    <row r="158" customFormat="false" ht="15" hidden="false" customHeight="false" outlineLevel="0" collapsed="false">
      <c r="A158" s="5" t="n">
        <v>46198</v>
      </c>
      <c r="B158" s="6" t="s">
        <v>50</v>
      </c>
      <c r="C158" s="6" t="s">
        <v>35</v>
      </c>
      <c r="D158" s="6" t="n">
        <v>4</v>
      </c>
      <c r="E158" s="6"/>
      <c r="F158" s="6" t="n">
        <v>210</v>
      </c>
      <c r="G158" s="6" t="n">
        <v>0</v>
      </c>
      <c r="H158" s="6" t="n">
        <v>3.52</v>
      </c>
      <c r="I158" s="6" t="n">
        <v>294</v>
      </c>
      <c r="J158" s="6" t="n">
        <v>131.97</v>
      </c>
      <c r="K158" s="6"/>
      <c r="L158" s="6" t="n">
        <v>0</v>
      </c>
      <c r="M158" s="6"/>
      <c r="N158" s="6"/>
      <c r="O158" s="6"/>
      <c r="P158" s="6" t="n">
        <v>3.52</v>
      </c>
      <c r="Q158" s="6"/>
      <c r="R158" s="6" t="s">
        <v>70</v>
      </c>
    </row>
    <row r="159" customFormat="false" ht="15" hidden="false" customHeight="false" outlineLevel="0" collapsed="false">
      <c r="A159" s="5" t="n">
        <v>46198</v>
      </c>
      <c r="B159" s="6" t="s">
        <v>50</v>
      </c>
      <c r="C159" s="6" t="s">
        <v>35</v>
      </c>
      <c r="D159" s="6" t="n">
        <v>5</v>
      </c>
      <c r="E159" s="6"/>
      <c r="F159" s="6" t="n">
        <v>210</v>
      </c>
      <c r="G159" s="6" t="n">
        <v>4</v>
      </c>
      <c r="H159" s="6" t="n">
        <v>3.92</v>
      </c>
      <c r="I159" s="6" t="n">
        <v>342</v>
      </c>
      <c r="J159" s="6" t="n">
        <v>273.31</v>
      </c>
      <c r="K159" s="6"/>
      <c r="L159" s="6" t="n">
        <v>0</v>
      </c>
      <c r="M159" s="6"/>
      <c r="N159" s="6"/>
      <c r="O159" s="6"/>
      <c r="P159" s="6" t="n">
        <v>-0.0800000000000001</v>
      </c>
      <c r="Q159" s="6" t="n">
        <v>0.98</v>
      </c>
      <c r="R159" s="6" t="s">
        <v>70</v>
      </c>
    </row>
    <row r="160" customFormat="false" ht="15" hidden="false" customHeight="false" outlineLevel="0" collapsed="false">
      <c r="A160" s="5" t="n">
        <v>46198</v>
      </c>
      <c r="B160" s="6" t="s">
        <v>50</v>
      </c>
      <c r="C160" s="6" t="s">
        <v>35</v>
      </c>
      <c r="D160" s="6" t="n">
        <v>6</v>
      </c>
      <c r="E160" s="6"/>
      <c r="F160" s="6" t="n">
        <v>195</v>
      </c>
      <c r="G160" s="6" t="n">
        <v>4.1</v>
      </c>
      <c r="H160" s="6" t="n">
        <v>3.85</v>
      </c>
      <c r="I160" s="6" t="n">
        <v>350.500000000001</v>
      </c>
      <c r="J160" s="6" t="n">
        <v>337.9</v>
      </c>
      <c r="K160" s="6"/>
      <c r="L160" s="6" t="n">
        <v>0</v>
      </c>
      <c r="M160" s="6"/>
      <c r="N160" s="6"/>
      <c r="O160" s="6"/>
      <c r="P160" s="6" t="n">
        <v>-0.25</v>
      </c>
      <c r="Q160" s="6" t="n">
        <v>0.939024390243903</v>
      </c>
      <c r="R160" s="6" t="s">
        <v>70</v>
      </c>
    </row>
    <row r="161" customFormat="false" ht="15" hidden="false" customHeight="false" outlineLevel="0" collapsed="false">
      <c r="A161" s="5" t="n">
        <v>46198</v>
      </c>
      <c r="B161" s="6" t="s">
        <v>50</v>
      </c>
      <c r="C161" s="6" t="s">
        <v>35</v>
      </c>
      <c r="D161" s="6" t="n">
        <v>7</v>
      </c>
      <c r="E161" s="6"/>
      <c r="F161" s="6" t="n">
        <v>195</v>
      </c>
      <c r="G161" s="6" t="n">
        <v>4.1</v>
      </c>
      <c r="H161" s="6" t="n">
        <v>3.92</v>
      </c>
      <c r="I161" s="6" t="n">
        <v>348.500000000001</v>
      </c>
      <c r="J161" s="6" t="n">
        <v>297.6</v>
      </c>
      <c r="K161" s="6"/>
      <c r="L161" s="6" t="n">
        <v>0</v>
      </c>
      <c r="M161" s="6"/>
      <c r="N161" s="6"/>
      <c r="O161" s="6"/>
      <c r="P161" s="6" t="n">
        <v>-0.18</v>
      </c>
      <c r="Q161" s="6" t="n">
        <v>0.95609756097561</v>
      </c>
      <c r="R161" s="6" t="s">
        <v>70</v>
      </c>
    </row>
    <row r="162" customFormat="false" ht="15" hidden="false" customHeight="false" outlineLevel="0" collapsed="false">
      <c r="A162" s="5" t="n">
        <v>46199</v>
      </c>
      <c r="B162" s="6" t="s">
        <v>50</v>
      </c>
      <c r="C162" s="6" t="s">
        <v>5</v>
      </c>
      <c r="D162" s="6"/>
      <c r="E162" s="6"/>
      <c r="F162" s="6" t="n">
        <v>1240</v>
      </c>
      <c r="G162" s="6" t="n">
        <v>19.96</v>
      </c>
      <c r="H162" s="6" t="n">
        <v>22.97</v>
      </c>
      <c r="I162" s="6" t="n">
        <v>2027.96</v>
      </c>
      <c r="J162" s="6" t="n">
        <v>1592.86</v>
      </c>
      <c r="K162" s="6" t="n">
        <v>10</v>
      </c>
      <c r="L162" s="6" t="n">
        <v>0</v>
      </c>
      <c r="M162" s="6"/>
      <c r="N162" s="6"/>
      <c r="O162" s="6"/>
      <c r="P162" s="6" t="n">
        <v>3.01</v>
      </c>
      <c r="Q162" s="6" t="n">
        <v>1.15080160320641</v>
      </c>
      <c r="R162" s="6" t="s">
        <v>71</v>
      </c>
    </row>
    <row r="163" customFormat="false" ht="15" hidden="false" customHeight="false" outlineLevel="0" collapsed="false">
      <c r="A163" s="5" t="n">
        <v>46199</v>
      </c>
      <c r="B163" s="6" t="s">
        <v>50</v>
      </c>
      <c r="C163" s="6" t="s">
        <v>35</v>
      </c>
      <c r="D163" s="6" t="n">
        <v>1</v>
      </c>
      <c r="E163" s="6"/>
      <c r="F163" s="6" t="n">
        <v>110</v>
      </c>
      <c r="G163" s="6" t="n">
        <v>1.93</v>
      </c>
      <c r="H163" s="6" t="n">
        <v>1.63</v>
      </c>
      <c r="I163" s="6" t="n">
        <v>169.18</v>
      </c>
      <c r="J163" s="6" t="n">
        <v>124.68</v>
      </c>
      <c r="K163" s="6"/>
      <c r="L163" s="6" t="n">
        <v>0</v>
      </c>
      <c r="M163" s="6"/>
      <c r="N163" s="6"/>
      <c r="O163" s="6"/>
      <c r="P163" s="6" t="n">
        <v>-0.3</v>
      </c>
      <c r="Q163" s="6" t="n">
        <v>0.844559585492228</v>
      </c>
      <c r="R163" s="6" t="s">
        <v>71</v>
      </c>
    </row>
    <row r="164" customFormat="false" ht="15" hidden="false" customHeight="false" outlineLevel="0" collapsed="false">
      <c r="A164" s="5" t="n">
        <v>46199</v>
      </c>
      <c r="B164" s="6" t="s">
        <v>50</v>
      </c>
      <c r="C164" s="6" t="s">
        <v>35</v>
      </c>
      <c r="D164" s="6" t="n">
        <v>2</v>
      </c>
      <c r="E164" s="6"/>
      <c r="F164" s="6" t="n">
        <v>110</v>
      </c>
      <c r="G164" s="6" t="n">
        <v>1.93</v>
      </c>
      <c r="H164" s="6" t="n">
        <v>1.76</v>
      </c>
      <c r="I164" s="6" t="n">
        <v>169.18</v>
      </c>
      <c r="J164" s="6" t="n">
        <v>129.63</v>
      </c>
      <c r="K164" s="6"/>
      <c r="L164" s="6" t="n">
        <v>0</v>
      </c>
      <c r="M164" s="6"/>
      <c r="N164" s="6"/>
      <c r="O164" s="6"/>
      <c r="P164" s="6" t="n">
        <v>-0.17</v>
      </c>
      <c r="Q164" s="6" t="n">
        <v>0.911917098445596</v>
      </c>
      <c r="R164" s="6" t="s">
        <v>71</v>
      </c>
    </row>
    <row r="165" customFormat="false" ht="15" hidden="false" customHeight="false" outlineLevel="0" collapsed="false">
      <c r="A165" s="5" t="n">
        <v>46199</v>
      </c>
      <c r="B165" s="6" t="s">
        <v>50</v>
      </c>
      <c r="C165" s="6" t="s">
        <v>35</v>
      </c>
      <c r="D165" s="6" t="n">
        <v>3</v>
      </c>
      <c r="E165" s="6"/>
      <c r="F165" s="6" t="n">
        <v>210</v>
      </c>
      <c r="G165" s="6" t="n">
        <v>3.9</v>
      </c>
      <c r="H165" s="6" t="n">
        <v>3.82</v>
      </c>
      <c r="I165" s="6" t="n">
        <v>342.4</v>
      </c>
      <c r="J165" s="6" t="n">
        <v>282.01</v>
      </c>
      <c r="K165" s="6"/>
      <c r="L165" s="6" t="n">
        <v>0</v>
      </c>
      <c r="M165" s="6"/>
      <c r="N165" s="6"/>
      <c r="O165" s="6"/>
      <c r="P165" s="6" t="n">
        <v>-0.0800000000000001</v>
      </c>
      <c r="Q165" s="6" t="n">
        <v>0.979487179487179</v>
      </c>
      <c r="R165" s="6" t="s">
        <v>71</v>
      </c>
    </row>
    <row r="166" customFormat="false" ht="15" hidden="false" customHeight="false" outlineLevel="0" collapsed="false">
      <c r="A166" s="5" t="n">
        <v>46199</v>
      </c>
      <c r="B166" s="6" t="s">
        <v>50</v>
      </c>
      <c r="C166" s="6" t="s">
        <v>35</v>
      </c>
      <c r="D166" s="6" t="n">
        <v>4</v>
      </c>
      <c r="E166" s="6"/>
      <c r="F166" s="6" t="n">
        <v>210</v>
      </c>
      <c r="G166" s="6" t="n">
        <v>0</v>
      </c>
      <c r="H166" s="6" t="n">
        <v>3.63</v>
      </c>
      <c r="I166" s="6" t="n">
        <v>294</v>
      </c>
      <c r="J166" s="6" t="n">
        <v>135.6</v>
      </c>
      <c r="K166" s="6"/>
      <c r="L166" s="6" t="n">
        <v>0</v>
      </c>
      <c r="M166" s="6"/>
      <c r="N166" s="6"/>
      <c r="O166" s="6"/>
      <c r="P166" s="6" t="n">
        <v>3.63</v>
      </c>
      <c r="Q166" s="6"/>
      <c r="R166" s="6" t="s">
        <v>71</v>
      </c>
    </row>
    <row r="167" customFormat="false" ht="15" hidden="false" customHeight="false" outlineLevel="0" collapsed="false">
      <c r="A167" s="5" t="n">
        <v>46199</v>
      </c>
      <c r="B167" s="6" t="s">
        <v>50</v>
      </c>
      <c r="C167" s="6" t="s">
        <v>35</v>
      </c>
      <c r="D167" s="6" t="n">
        <v>5</v>
      </c>
      <c r="E167" s="6"/>
      <c r="F167" s="6" t="n">
        <v>210</v>
      </c>
      <c r="G167" s="6" t="n">
        <v>4</v>
      </c>
      <c r="H167" s="6" t="n">
        <v>4.13</v>
      </c>
      <c r="I167" s="6" t="n">
        <v>346</v>
      </c>
      <c r="J167" s="6" t="n">
        <v>277.44</v>
      </c>
      <c r="K167" s="6"/>
      <c r="L167" s="6" t="n">
        <v>0</v>
      </c>
      <c r="M167" s="6"/>
      <c r="N167" s="6"/>
      <c r="O167" s="6"/>
      <c r="P167" s="6" t="n">
        <v>0.13</v>
      </c>
      <c r="Q167" s="6" t="n">
        <v>1.0325</v>
      </c>
      <c r="R167" s="6" t="s">
        <v>71</v>
      </c>
    </row>
    <row r="168" customFormat="false" ht="15" hidden="false" customHeight="false" outlineLevel="0" collapsed="false">
      <c r="A168" s="5" t="n">
        <v>46199</v>
      </c>
      <c r="B168" s="6" t="s">
        <v>50</v>
      </c>
      <c r="C168" s="6" t="s">
        <v>35</v>
      </c>
      <c r="D168" s="6" t="n">
        <v>6</v>
      </c>
      <c r="E168" s="6"/>
      <c r="F168" s="6" t="n">
        <v>195</v>
      </c>
      <c r="G168" s="6" t="n">
        <v>4.1</v>
      </c>
      <c r="H168" s="6" t="n">
        <v>3.84</v>
      </c>
      <c r="I168" s="6" t="n">
        <v>354.600000000001</v>
      </c>
      <c r="J168" s="6" t="n">
        <v>341.74</v>
      </c>
      <c r="K168" s="6"/>
      <c r="L168" s="6" t="n">
        <v>0</v>
      </c>
      <c r="M168" s="6"/>
      <c r="N168" s="6"/>
      <c r="O168" s="6"/>
      <c r="P168" s="6" t="n">
        <v>-0.26</v>
      </c>
      <c r="Q168" s="6" t="n">
        <v>0.936585365853659</v>
      </c>
      <c r="R168" s="6" t="s">
        <v>71</v>
      </c>
    </row>
    <row r="169" customFormat="false" ht="15" hidden="false" customHeight="false" outlineLevel="0" collapsed="false">
      <c r="A169" s="5" t="n">
        <v>46199</v>
      </c>
      <c r="B169" s="6" t="s">
        <v>50</v>
      </c>
      <c r="C169" s="6" t="s">
        <v>35</v>
      </c>
      <c r="D169" s="6" t="n">
        <v>7</v>
      </c>
      <c r="E169" s="6"/>
      <c r="F169" s="6" t="n">
        <v>195</v>
      </c>
      <c r="G169" s="6" t="n">
        <v>4.1</v>
      </c>
      <c r="H169" s="6" t="n">
        <v>4.16</v>
      </c>
      <c r="I169" s="6" t="n">
        <v>352.600000000001</v>
      </c>
      <c r="J169" s="6" t="n">
        <v>301.76</v>
      </c>
      <c r="K169" s="6"/>
      <c r="L169" s="6" t="n">
        <v>0</v>
      </c>
      <c r="M169" s="6"/>
      <c r="N169" s="6"/>
      <c r="O169" s="6"/>
      <c r="P169" s="6" t="n">
        <v>0.0600000000000005</v>
      </c>
      <c r="Q169" s="6" t="n">
        <v>1.01463414634146</v>
      </c>
      <c r="R169" s="6" t="s">
        <v>71</v>
      </c>
    </row>
    <row r="170" customFormat="false" ht="15" hidden="false" customHeight="false" outlineLevel="0" collapsed="false">
      <c r="A170" s="5" t="n">
        <v>46200</v>
      </c>
      <c r="B170" s="6" t="s">
        <v>50</v>
      </c>
      <c r="C170" s="6" t="s">
        <v>5</v>
      </c>
      <c r="D170" s="6"/>
      <c r="E170" s="6"/>
      <c r="F170" s="6" t="n">
        <v>1240</v>
      </c>
      <c r="G170" s="6" t="n">
        <v>19.96</v>
      </c>
      <c r="H170" s="6" t="n">
        <v>23.48</v>
      </c>
      <c r="I170" s="6" t="n">
        <v>2047.92</v>
      </c>
      <c r="J170" s="6" t="n">
        <v>1616.34</v>
      </c>
      <c r="K170" s="6" t="n">
        <v>10</v>
      </c>
      <c r="L170" s="6" t="n">
        <v>0</v>
      </c>
      <c r="M170" s="6"/>
      <c r="N170" s="6"/>
      <c r="O170" s="6"/>
      <c r="P170" s="6" t="n">
        <v>3.52</v>
      </c>
      <c r="Q170" s="6" t="n">
        <v>1.17635270541082</v>
      </c>
      <c r="R170" s="6" t="s">
        <v>72</v>
      </c>
    </row>
    <row r="171" customFormat="false" ht="15" hidden="false" customHeight="false" outlineLevel="0" collapsed="false">
      <c r="A171" s="5" t="n">
        <v>46200</v>
      </c>
      <c r="B171" s="6" t="s">
        <v>50</v>
      </c>
      <c r="C171" s="6" t="s">
        <v>35</v>
      </c>
      <c r="D171" s="6" t="n">
        <v>1</v>
      </c>
      <c r="E171" s="6"/>
      <c r="F171" s="6" t="n">
        <v>110</v>
      </c>
      <c r="G171" s="6" t="n">
        <v>1.93</v>
      </c>
      <c r="H171" s="6" t="n">
        <v>1.69</v>
      </c>
      <c r="I171" s="6" t="n">
        <v>171.11</v>
      </c>
      <c r="J171" s="6" t="n">
        <v>126.37</v>
      </c>
      <c r="K171" s="6"/>
      <c r="L171" s="6" t="n">
        <v>0</v>
      </c>
      <c r="M171" s="6"/>
      <c r="N171" s="6"/>
      <c r="O171" s="6"/>
      <c r="P171" s="6" t="n">
        <v>-0.24</v>
      </c>
      <c r="Q171" s="6" t="n">
        <v>0.875647668393782</v>
      </c>
      <c r="R171" s="6" t="s">
        <v>72</v>
      </c>
    </row>
    <row r="172" customFormat="false" ht="15" hidden="false" customHeight="false" outlineLevel="0" collapsed="false">
      <c r="A172" s="5" t="n">
        <v>46200</v>
      </c>
      <c r="B172" s="6" t="s">
        <v>50</v>
      </c>
      <c r="C172" s="6" t="s">
        <v>35</v>
      </c>
      <c r="D172" s="6" t="n">
        <v>2</v>
      </c>
      <c r="E172" s="6"/>
      <c r="F172" s="6" t="n">
        <v>110</v>
      </c>
      <c r="G172" s="6" t="n">
        <v>1.93</v>
      </c>
      <c r="H172" s="6" t="n">
        <v>1.75</v>
      </c>
      <c r="I172" s="6" t="n">
        <v>171.11</v>
      </c>
      <c r="J172" s="6" t="n">
        <v>131.38</v>
      </c>
      <c r="K172" s="6"/>
      <c r="L172" s="6" t="n">
        <v>0</v>
      </c>
      <c r="M172" s="6"/>
      <c r="N172" s="6"/>
      <c r="O172" s="6"/>
      <c r="P172" s="6" t="n">
        <v>-0.18</v>
      </c>
      <c r="Q172" s="6" t="n">
        <v>0.906735751295337</v>
      </c>
      <c r="R172" s="6" t="s">
        <v>72</v>
      </c>
    </row>
    <row r="173" customFormat="false" ht="15" hidden="false" customHeight="false" outlineLevel="0" collapsed="false">
      <c r="A173" s="5" t="n">
        <v>46200</v>
      </c>
      <c r="B173" s="6" t="s">
        <v>50</v>
      </c>
      <c r="C173" s="6" t="s">
        <v>35</v>
      </c>
      <c r="D173" s="6" t="n">
        <v>3</v>
      </c>
      <c r="E173" s="6"/>
      <c r="F173" s="6" t="n">
        <v>210</v>
      </c>
      <c r="G173" s="6" t="n">
        <v>3.9</v>
      </c>
      <c r="H173" s="6" t="n">
        <v>3.97</v>
      </c>
      <c r="I173" s="6" t="n">
        <v>346.3</v>
      </c>
      <c r="J173" s="6" t="n">
        <v>285.98</v>
      </c>
      <c r="K173" s="6"/>
      <c r="L173" s="6" t="n">
        <v>0</v>
      </c>
      <c r="M173" s="6"/>
      <c r="N173" s="6"/>
      <c r="O173" s="6"/>
      <c r="P173" s="6" t="n">
        <v>0.0700000000000003</v>
      </c>
      <c r="Q173" s="6" t="n">
        <v>1.01794871794872</v>
      </c>
      <c r="R173" s="6" t="s">
        <v>72</v>
      </c>
    </row>
    <row r="174" customFormat="false" ht="15" hidden="false" customHeight="false" outlineLevel="0" collapsed="false">
      <c r="A174" s="5" t="n">
        <v>46200</v>
      </c>
      <c r="B174" s="6" t="s">
        <v>50</v>
      </c>
      <c r="C174" s="6" t="s">
        <v>35</v>
      </c>
      <c r="D174" s="6" t="n">
        <v>4</v>
      </c>
      <c r="E174" s="6"/>
      <c r="F174" s="6" t="n">
        <v>210</v>
      </c>
      <c r="G174" s="6" t="n">
        <v>0</v>
      </c>
      <c r="H174" s="6" t="n">
        <v>3.65</v>
      </c>
      <c r="I174" s="6" t="n">
        <v>294</v>
      </c>
      <c r="J174" s="6" t="n">
        <v>139.25</v>
      </c>
      <c r="K174" s="6"/>
      <c r="L174" s="6" t="n">
        <v>0</v>
      </c>
      <c r="M174" s="6"/>
      <c r="N174" s="6"/>
      <c r="O174" s="6"/>
      <c r="P174" s="6" t="n">
        <v>3.65</v>
      </c>
      <c r="Q174" s="6"/>
      <c r="R174" s="6" t="s">
        <v>72</v>
      </c>
    </row>
    <row r="175" customFormat="false" ht="15" hidden="false" customHeight="false" outlineLevel="0" collapsed="false">
      <c r="A175" s="5" t="n">
        <v>46200</v>
      </c>
      <c r="B175" s="6" t="s">
        <v>50</v>
      </c>
      <c r="C175" s="6" t="s">
        <v>35</v>
      </c>
      <c r="D175" s="6" t="n">
        <v>5</v>
      </c>
      <c r="E175" s="6"/>
      <c r="F175" s="6" t="n">
        <v>210</v>
      </c>
      <c r="G175" s="6" t="n">
        <v>4</v>
      </c>
      <c r="H175" s="6" t="n">
        <v>4.29</v>
      </c>
      <c r="I175" s="6" t="n">
        <v>350</v>
      </c>
      <c r="J175" s="6" t="n">
        <v>281.73</v>
      </c>
      <c r="K175" s="6"/>
      <c r="L175" s="6" t="n">
        <v>0</v>
      </c>
      <c r="M175" s="6"/>
      <c r="N175" s="6"/>
      <c r="O175" s="6"/>
      <c r="P175" s="6" t="n">
        <v>0.29</v>
      </c>
      <c r="Q175" s="6" t="n">
        <v>1.0725</v>
      </c>
      <c r="R175" s="6" t="s">
        <v>72</v>
      </c>
    </row>
    <row r="176" customFormat="false" ht="15" hidden="false" customHeight="false" outlineLevel="0" collapsed="false">
      <c r="A176" s="5" t="n">
        <v>46200</v>
      </c>
      <c r="B176" s="6" t="s">
        <v>50</v>
      </c>
      <c r="C176" s="6" t="s">
        <v>35</v>
      </c>
      <c r="D176" s="6" t="n">
        <v>6</v>
      </c>
      <c r="E176" s="6"/>
      <c r="F176" s="6" t="n">
        <v>195</v>
      </c>
      <c r="G176" s="6" t="n">
        <v>4.1</v>
      </c>
      <c r="H176" s="6" t="n">
        <v>3.85</v>
      </c>
      <c r="I176" s="6" t="n">
        <v>358.700000000001</v>
      </c>
      <c r="J176" s="6" t="n">
        <v>345.59</v>
      </c>
      <c r="K176" s="6"/>
      <c r="L176" s="6" t="n">
        <v>0</v>
      </c>
      <c r="M176" s="6"/>
      <c r="N176" s="6"/>
      <c r="O176" s="6"/>
      <c r="P176" s="6" t="n">
        <v>-0.25</v>
      </c>
      <c r="Q176" s="6" t="n">
        <v>0.939024390243903</v>
      </c>
      <c r="R176" s="6" t="s">
        <v>72</v>
      </c>
    </row>
    <row r="177" customFormat="false" ht="15" hidden="false" customHeight="false" outlineLevel="0" collapsed="false">
      <c r="A177" s="5" t="n">
        <v>46200</v>
      </c>
      <c r="B177" s="6" t="s">
        <v>50</v>
      </c>
      <c r="C177" s="6" t="s">
        <v>35</v>
      </c>
      <c r="D177" s="6" t="n">
        <v>7</v>
      </c>
      <c r="E177" s="6"/>
      <c r="F177" s="6" t="n">
        <v>195</v>
      </c>
      <c r="G177" s="6" t="n">
        <v>4.1</v>
      </c>
      <c r="H177" s="6" t="n">
        <v>4.28</v>
      </c>
      <c r="I177" s="6" t="n">
        <v>356.700000000001</v>
      </c>
      <c r="J177" s="6" t="n">
        <v>306.04</v>
      </c>
      <c r="K177" s="6"/>
      <c r="L177" s="6" t="n">
        <v>0</v>
      </c>
      <c r="M177" s="6"/>
      <c r="N177" s="6"/>
      <c r="O177" s="6"/>
      <c r="P177" s="6" t="n">
        <v>0.180000000000001</v>
      </c>
      <c r="Q177" s="6" t="n">
        <v>1.04390243902439</v>
      </c>
      <c r="R177" s="6" t="s">
        <v>72</v>
      </c>
    </row>
    <row r="178" customFormat="false" ht="15" hidden="false" customHeight="false" outlineLevel="0" collapsed="false">
      <c r="A178" s="5" t="n">
        <v>46201</v>
      </c>
      <c r="B178" s="6" t="s">
        <v>50</v>
      </c>
      <c r="C178" s="6" t="s">
        <v>5</v>
      </c>
      <c r="D178" s="6"/>
      <c r="E178" s="6"/>
      <c r="F178" s="6" t="n">
        <v>1240</v>
      </c>
      <c r="G178" s="6" t="n">
        <v>19.96</v>
      </c>
      <c r="H178" s="6" t="n">
        <v>23.29</v>
      </c>
      <c r="I178" s="6" t="n">
        <v>2067.88</v>
      </c>
      <c r="J178" s="6" t="n">
        <v>1639.63</v>
      </c>
      <c r="K178" s="6" t="n">
        <v>9</v>
      </c>
      <c r="L178" s="6" t="n">
        <v>0</v>
      </c>
      <c r="M178" s="6"/>
      <c r="N178" s="6"/>
      <c r="O178" s="6"/>
      <c r="P178" s="6" t="n">
        <v>3.33</v>
      </c>
      <c r="Q178" s="6" t="n">
        <v>1.16683366733467</v>
      </c>
      <c r="R178" s="6" t="s">
        <v>73</v>
      </c>
    </row>
    <row r="179" customFormat="false" ht="15" hidden="false" customHeight="false" outlineLevel="0" collapsed="false">
      <c r="A179" s="5" t="n">
        <v>46201</v>
      </c>
      <c r="B179" s="6" t="s">
        <v>50</v>
      </c>
      <c r="C179" s="6" t="s">
        <v>35</v>
      </c>
      <c r="D179" s="6" t="n">
        <v>1</v>
      </c>
      <c r="E179" s="6"/>
      <c r="F179" s="6" t="n">
        <v>110</v>
      </c>
      <c r="G179" s="6" t="n">
        <v>1.93</v>
      </c>
      <c r="H179" s="6" t="n">
        <v>1.69</v>
      </c>
      <c r="I179" s="6" t="n">
        <v>173.04</v>
      </c>
      <c r="J179" s="6" t="n">
        <v>128.06</v>
      </c>
      <c r="K179" s="6"/>
      <c r="L179" s="6" t="n">
        <v>0</v>
      </c>
      <c r="M179" s="6"/>
      <c r="N179" s="6"/>
      <c r="O179" s="6"/>
      <c r="P179" s="6" t="n">
        <v>-0.24</v>
      </c>
      <c r="Q179" s="6" t="n">
        <v>0.875647668393782</v>
      </c>
      <c r="R179" s="6" t="s">
        <v>73</v>
      </c>
    </row>
    <row r="180" customFormat="false" ht="15" hidden="false" customHeight="false" outlineLevel="0" collapsed="false">
      <c r="A180" s="5" t="n">
        <v>46201</v>
      </c>
      <c r="B180" s="6" t="s">
        <v>50</v>
      </c>
      <c r="C180" s="6" t="s">
        <v>35</v>
      </c>
      <c r="D180" s="6" t="n">
        <v>2</v>
      </c>
      <c r="E180" s="6"/>
      <c r="F180" s="6" t="n">
        <v>110</v>
      </c>
      <c r="G180" s="6" t="n">
        <v>1.93</v>
      </c>
      <c r="H180" s="6" t="n">
        <v>1.75</v>
      </c>
      <c r="I180" s="6" t="n">
        <v>173.04</v>
      </c>
      <c r="J180" s="6" t="n">
        <v>133.13</v>
      </c>
      <c r="K180" s="6"/>
      <c r="L180" s="6" t="n">
        <v>0</v>
      </c>
      <c r="M180" s="6"/>
      <c r="N180" s="6"/>
      <c r="O180" s="6"/>
      <c r="P180" s="6" t="n">
        <v>-0.18</v>
      </c>
      <c r="Q180" s="6" t="n">
        <v>0.906735751295337</v>
      </c>
      <c r="R180" s="6" t="s">
        <v>73</v>
      </c>
    </row>
    <row r="181" customFormat="false" ht="15" hidden="false" customHeight="false" outlineLevel="0" collapsed="false">
      <c r="A181" s="5" t="n">
        <v>46201</v>
      </c>
      <c r="B181" s="6" t="s">
        <v>50</v>
      </c>
      <c r="C181" s="6" t="s">
        <v>35</v>
      </c>
      <c r="D181" s="6" t="n">
        <v>3</v>
      </c>
      <c r="E181" s="6"/>
      <c r="F181" s="6" t="n">
        <v>210</v>
      </c>
      <c r="G181" s="6" t="n">
        <v>3.9</v>
      </c>
      <c r="H181" s="6" t="n">
        <v>3.9</v>
      </c>
      <c r="I181" s="6" t="n">
        <v>350.2</v>
      </c>
      <c r="J181" s="6" t="n">
        <v>289.88</v>
      </c>
      <c r="K181" s="6"/>
      <c r="L181" s="6" t="n">
        <v>0</v>
      </c>
      <c r="M181" s="6"/>
      <c r="N181" s="6"/>
      <c r="O181" s="6"/>
      <c r="P181" s="6" t="n">
        <v>0</v>
      </c>
      <c r="Q181" s="6" t="n">
        <v>1</v>
      </c>
      <c r="R181" s="6" t="s">
        <v>73</v>
      </c>
    </row>
    <row r="182" customFormat="false" ht="15" hidden="false" customHeight="false" outlineLevel="0" collapsed="false">
      <c r="A182" s="5" t="n">
        <v>46201</v>
      </c>
      <c r="B182" s="6" t="s">
        <v>50</v>
      </c>
      <c r="C182" s="6" t="s">
        <v>35</v>
      </c>
      <c r="D182" s="6" t="n">
        <v>4</v>
      </c>
      <c r="E182" s="6"/>
      <c r="F182" s="6" t="n">
        <v>210</v>
      </c>
      <c r="G182" s="6" t="n">
        <v>0</v>
      </c>
      <c r="H182" s="6" t="n">
        <v>3.62</v>
      </c>
      <c r="I182" s="6" t="n">
        <v>294</v>
      </c>
      <c r="J182" s="6" t="n">
        <v>142.87</v>
      </c>
      <c r="K182" s="6"/>
      <c r="L182" s="6" t="n">
        <v>0</v>
      </c>
      <c r="M182" s="6"/>
      <c r="N182" s="6"/>
      <c r="O182" s="6"/>
      <c r="P182" s="6" t="n">
        <v>3.62</v>
      </c>
      <c r="Q182" s="6"/>
      <c r="R182" s="6" t="s">
        <v>73</v>
      </c>
    </row>
    <row r="183" customFormat="false" ht="15" hidden="false" customHeight="false" outlineLevel="0" collapsed="false">
      <c r="A183" s="5" t="n">
        <v>46201</v>
      </c>
      <c r="B183" s="6" t="s">
        <v>50</v>
      </c>
      <c r="C183" s="6" t="s">
        <v>35</v>
      </c>
      <c r="D183" s="6" t="n">
        <v>5</v>
      </c>
      <c r="E183" s="6"/>
      <c r="F183" s="6" t="n">
        <v>210</v>
      </c>
      <c r="G183" s="6" t="n">
        <v>4</v>
      </c>
      <c r="H183" s="6" t="n">
        <v>4.23</v>
      </c>
      <c r="I183" s="6" t="n">
        <v>354</v>
      </c>
      <c r="J183" s="6" t="n">
        <v>285.96</v>
      </c>
      <c r="K183" s="6"/>
      <c r="L183" s="6" t="n">
        <v>0</v>
      </c>
      <c r="M183" s="6"/>
      <c r="N183" s="6"/>
      <c r="O183" s="6"/>
      <c r="P183" s="6" t="n">
        <v>0.23</v>
      </c>
      <c r="Q183" s="6" t="n">
        <v>1.0575</v>
      </c>
      <c r="R183" s="6" t="s">
        <v>73</v>
      </c>
    </row>
    <row r="184" customFormat="false" ht="15" hidden="false" customHeight="false" outlineLevel="0" collapsed="false">
      <c r="A184" s="5" t="n">
        <v>46201</v>
      </c>
      <c r="B184" s="6" t="s">
        <v>50</v>
      </c>
      <c r="C184" s="6" t="s">
        <v>35</v>
      </c>
      <c r="D184" s="6" t="n">
        <v>6</v>
      </c>
      <c r="E184" s="6"/>
      <c r="F184" s="6" t="n">
        <v>195</v>
      </c>
      <c r="G184" s="6" t="n">
        <v>4.1</v>
      </c>
      <c r="H184" s="6" t="n">
        <v>3.84</v>
      </c>
      <c r="I184" s="6" t="n">
        <v>362.800000000001</v>
      </c>
      <c r="J184" s="6" t="n">
        <v>349.43</v>
      </c>
      <c r="K184" s="6"/>
      <c r="L184" s="6" t="n">
        <v>0</v>
      </c>
      <c r="M184" s="6"/>
      <c r="N184" s="6"/>
      <c r="O184" s="6"/>
      <c r="P184" s="6" t="n">
        <v>-0.26</v>
      </c>
      <c r="Q184" s="6" t="n">
        <v>0.936585365853659</v>
      </c>
      <c r="R184" s="6" t="s">
        <v>73</v>
      </c>
    </row>
    <row r="185" customFormat="false" ht="15" hidden="false" customHeight="false" outlineLevel="0" collapsed="false">
      <c r="A185" s="5" t="n">
        <v>46201</v>
      </c>
      <c r="B185" s="6" t="s">
        <v>50</v>
      </c>
      <c r="C185" s="6" t="s">
        <v>35</v>
      </c>
      <c r="D185" s="6" t="n">
        <v>7</v>
      </c>
      <c r="E185" s="6"/>
      <c r="F185" s="6" t="n">
        <v>195</v>
      </c>
      <c r="G185" s="6" t="n">
        <v>4.1</v>
      </c>
      <c r="H185" s="6" t="n">
        <v>4.26</v>
      </c>
      <c r="I185" s="6" t="n">
        <v>360.800000000001</v>
      </c>
      <c r="J185" s="6" t="n">
        <v>310.3</v>
      </c>
      <c r="K185" s="6"/>
      <c r="L185" s="6" t="n">
        <v>0</v>
      </c>
      <c r="M185" s="6"/>
      <c r="N185" s="6"/>
      <c r="O185" s="6"/>
      <c r="P185" s="6" t="n">
        <v>0.16</v>
      </c>
      <c r="Q185" s="6" t="n">
        <v>1.0390243902439</v>
      </c>
      <c r="R185" s="6" t="s">
        <v>73</v>
      </c>
    </row>
    <row r="186" customFormat="false" ht="15" hidden="false" customHeight="false" outlineLevel="0" collapsed="false">
      <c r="A186" s="5" t="n">
        <v>46202</v>
      </c>
      <c r="B186" s="6" t="s">
        <v>50</v>
      </c>
      <c r="C186" s="6" t="s">
        <v>5</v>
      </c>
      <c r="D186" s="6"/>
      <c r="E186" s="6"/>
      <c r="F186" s="6" t="n">
        <v>1240</v>
      </c>
      <c r="G186" s="6" t="n">
        <v>19.96</v>
      </c>
      <c r="H186" s="6" t="n">
        <v>23.3</v>
      </c>
      <c r="I186" s="6" t="n">
        <v>2087.84</v>
      </c>
      <c r="J186" s="6" t="n">
        <v>1662.93</v>
      </c>
      <c r="K186" s="6" t="n">
        <v>9</v>
      </c>
      <c r="L186" s="6" t="n">
        <v>0</v>
      </c>
      <c r="M186" s="6"/>
      <c r="N186" s="6"/>
      <c r="O186" s="6"/>
      <c r="P186" s="6" t="n">
        <v>3.34</v>
      </c>
      <c r="Q186" s="6" t="n">
        <v>1.16733466933868</v>
      </c>
      <c r="R186" s="6" t="s">
        <v>74</v>
      </c>
    </row>
    <row r="187" customFormat="false" ht="15" hidden="false" customHeight="false" outlineLevel="0" collapsed="false">
      <c r="A187" s="5" t="n">
        <v>46202</v>
      </c>
      <c r="B187" s="6" t="s">
        <v>50</v>
      </c>
      <c r="C187" s="6" t="s">
        <v>35</v>
      </c>
      <c r="D187" s="6" t="n">
        <v>1</v>
      </c>
      <c r="E187" s="6"/>
      <c r="F187" s="6" t="n">
        <v>110</v>
      </c>
      <c r="G187" s="6" t="n">
        <v>1.93</v>
      </c>
      <c r="H187" s="6" t="n">
        <v>1.72</v>
      </c>
      <c r="I187" s="6" t="n">
        <v>174.97</v>
      </c>
      <c r="J187" s="6" t="n">
        <v>129.78</v>
      </c>
      <c r="K187" s="6"/>
      <c r="L187" s="6" t="n">
        <v>0</v>
      </c>
      <c r="M187" s="6"/>
      <c r="N187" s="6"/>
      <c r="O187" s="6"/>
      <c r="P187" s="6" t="n">
        <v>-0.21</v>
      </c>
      <c r="Q187" s="6" t="n">
        <v>0.89119170984456</v>
      </c>
      <c r="R187" s="6" t="s">
        <v>74</v>
      </c>
    </row>
    <row r="188" customFormat="false" ht="15" hidden="false" customHeight="false" outlineLevel="0" collapsed="false">
      <c r="A188" s="5" t="n">
        <v>46202</v>
      </c>
      <c r="B188" s="6" t="s">
        <v>50</v>
      </c>
      <c r="C188" s="6" t="s">
        <v>35</v>
      </c>
      <c r="D188" s="6" t="n">
        <v>2</v>
      </c>
      <c r="E188" s="6"/>
      <c r="F188" s="6" t="n">
        <v>110</v>
      </c>
      <c r="G188" s="6" t="n">
        <v>1.93</v>
      </c>
      <c r="H188" s="6" t="n">
        <v>1.81</v>
      </c>
      <c r="I188" s="6" t="n">
        <v>174.97</v>
      </c>
      <c r="J188" s="6" t="n">
        <v>134.94</v>
      </c>
      <c r="K188" s="6"/>
      <c r="L188" s="6" t="n">
        <v>0</v>
      </c>
      <c r="M188" s="6"/>
      <c r="N188" s="6"/>
      <c r="O188" s="6"/>
      <c r="P188" s="6" t="n">
        <v>-0.12</v>
      </c>
      <c r="Q188" s="6" t="n">
        <v>0.937823834196891</v>
      </c>
      <c r="R188" s="6" t="s">
        <v>74</v>
      </c>
    </row>
    <row r="189" customFormat="false" ht="15" hidden="false" customHeight="false" outlineLevel="0" collapsed="false">
      <c r="A189" s="5" t="n">
        <v>46202</v>
      </c>
      <c r="B189" s="6" t="s">
        <v>50</v>
      </c>
      <c r="C189" s="6" t="s">
        <v>35</v>
      </c>
      <c r="D189" s="6" t="n">
        <v>3</v>
      </c>
      <c r="E189" s="6"/>
      <c r="F189" s="6" t="n">
        <v>210</v>
      </c>
      <c r="G189" s="6" t="n">
        <v>3.9</v>
      </c>
      <c r="H189" s="6" t="n">
        <v>3.85</v>
      </c>
      <c r="I189" s="6" t="n">
        <v>354.1</v>
      </c>
      <c r="J189" s="6" t="n">
        <v>293.73</v>
      </c>
      <c r="K189" s="6"/>
      <c r="L189" s="6" t="n">
        <v>0</v>
      </c>
      <c r="M189" s="6"/>
      <c r="N189" s="6"/>
      <c r="O189" s="6"/>
      <c r="P189" s="6" t="n">
        <v>-0.0499999999999998</v>
      </c>
      <c r="Q189" s="6" t="n">
        <v>0.987179487179487</v>
      </c>
      <c r="R189" s="6" t="s">
        <v>74</v>
      </c>
    </row>
    <row r="190" customFormat="false" ht="15" hidden="false" customHeight="false" outlineLevel="0" collapsed="false">
      <c r="A190" s="5" t="n">
        <v>46202</v>
      </c>
      <c r="B190" s="6" t="s">
        <v>50</v>
      </c>
      <c r="C190" s="6" t="s">
        <v>35</v>
      </c>
      <c r="D190" s="6" t="n">
        <v>4</v>
      </c>
      <c r="E190" s="6"/>
      <c r="F190" s="6" t="n">
        <v>210</v>
      </c>
      <c r="G190" s="6" t="n">
        <v>0</v>
      </c>
      <c r="H190" s="6" t="n">
        <v>3.64</v>
      </c>
      <c r="I190" s="6" t="n">
        <v>294</v>
      </c>
      <c r="J190" s="6" t="n">
        <v>146.51</v>
      </c>
      <c r="K190" s="6"/>
      <c r="L190" s="6" t="n">
        <v>0</v>
      </c>
      <c r="M190" s="6"/>
      <c r="N190" s="6"/>
      <c r="O190" s="6"/>
      <c r="P190" s="6" t="n">
        <v>3.64</v>
      </c>
      <c r="Q190" s="6"/>
      <c r="R190" s="6" t="s">
        <v>74</v>
      </c>
    </row>
    <row r="191" customFormat="false" ht="15" hidden="false" customHeight="false" outlineLevel="0" collapsed="false">
      <c r="A191" s="5" t="n">
        <v>46202</v>
      </c>
      <c r="B191" s="6" t="s">
        <v>50</v>
      </c>
      <c r="C191" s="6" t="s">
        <v>35</v>
      </c>
      <c r="D191" s="6" t="n">
        <v>5</v>
      </c>
      <c r="E191" s="6"/>
      <c r="F191" s="6" t="n">
        <v>210</v>
      </c>
      <c r="G191" s="6" t="n">
        <v>4</v>
      </c>
      <c r="H191" s="6" t="n">
        <v>4.16</v>
      </c>
      <c r="I191" s="6" t="n">
        <v>358</v>
      </c>
      <c r="J191" s="6" t="n">
        <v>290.12</v>
      </c>
      <c r="K191" s="6"/>
      <c r="L191" s="6" t="n">
        <v>0</v>
      </c>
      <c r="M191" s="6"/>
      <c r="N191" s="6"/>
      <c r="O191" s="6"/>
      <c r="P191" s="6" t="n">
        <v>0.16</v>
      </c>
      <c r="Q191" s="6" t="n">
        <v>1.04</v>
      </c>
      <c r="R191" s="6" t="s">
        <v>74</v>
      </c>
    </row>
    <row r="192" customFormat="false" ht="15" hidden="false" customHeight="false" outlineLevel="0" collapsed="false">
      <c r="A192" s="5" t="n">
        <v>46202</v>
      </c>
      <c r="B192" s="6" t="s">
        <v>50</v>
      </c>
      <c r="C192" s="6" t="s">
        <v>35</v>
      </c>
      <c r="D192" s="6" t="n">
        <v>6</v>
      </c>
      <c r="E192" s="6"/>
      <c r="F192" s="6" t="n">
        <v>195</v>
      </c>
      <c r="G192" s="6" t="n">
        <v>4.1</v>
      </c>
      <c r="H192" s="6" t="n">
        <v>3.84</v>
      </c>
      <c r="I192" s="6" t="n">
        <v>366.900000000001</v>
      </c>
      <c r="J192" s="6" t="n">
        <v>353.27</v>
      </c>
      <c r="K192" s="6"/>
      <c r="L192" s="6" t="n">
        <v>0</v>
      </c>
      <c r="M192" s="6"/>
      <c r="N192" s="6"/>
      <c r="O192" s="6"/>
      <c r="P192" s="6" t="n">
        <v>-0.26</v>
      </c>
      <c r="Q192" s="6" t="n">
        <v>0.936585365853659</v>
      </c>
      <c r="R192" s="6" t="s">
        <v>74</v>
      </c>
    </row>
    <row r="193" customFormat="false" ht="15" hidden="false" customHeight="false" outlineLevel="0" collapsed="false">
      <c r="A193" s="5" t="n">
        <v>46202</v>
      </c>
      <c r="B193" s="6" t="s">
        <v>50</v>
      </c>
      <c r="C193" s="6" t="s">
        <v>35</v>
      </c>
      <c r="D193" s="6" t="n">
        <v>7</v>
      </c>
      <c r="E193" s="6"/>
      <c r="F193" s="6" t="n">
        <v>195</v>
      </c>
      <c r="G193" s="6" t="n">
        <v>4.1</v>
      </c>
      <c r="H193" s="6" t="n">
        <v>4.28</v>
      </c>
      <c r="I193" s="6" t="n">
        <v>364.900000000001</v>
      </c>
      <c r="J193" s="6" t="n">
        <v>314.58</v>
      </c>
      <c r="K193" s="6"/>
      <c r="L193" s="6" t="n">
        <v>0</v>
      </c>
      <c r="M193" s="6"/>
      <c r="N193" s="6"/>
      <c r="O193" s="6"/>
      <c r="P193" s="6" t="n">
        <v>0.180000000000001</v>
      </c>
      <c r="Q193" s="6" t="n">
        <v>1.04390243902439</v>
      </c>
      <c r="R193" s="6" t="s">
        <v>74</v>
      </c>
    </row>
    <row r="194" customFormat="false" ht="15" hidden="false" customHeight="false" outlineLevel="0" collapsed="false">
      <c r="A194" s="5" t="n">
        <v>46203</v>
      </c>
      <c r="B194" s="6" t="s">
        <v>50</v>
      </c>
      <c r="C194" s="6" t="s">
        <v>5</v>
      </c>
      <c r="D194" s="6"/>
      <c r="E194" s="6"/>
      <c r="F194" s="6" t="n">
        <v>1240</v>
      </c>
      <c r="G194" s="6" t="n">
        <v>19.96</v>
      </c>
      <c r="H194" s="6" t="n">
        <v>22.05</v>
      </c>
      <c r="I194" s="6" t="n">
        <v>2108</v>
      </c>
      <c r="J194" s="6" t="n">
        <v>1684.98</v>
      </c>
      <c r="K194" s="6" t="n">
        <v>9</v>
      </c>
      <c r="L194" s="6" t="n">
        <v>195</v>
      </c>
      <c r="M194" s="6"/>
      <c r="N194" s="6"/>
      <c r="O194" s="6"/>
      <c r="P194" s="6" t="n">
        <v>2.09</v>
      </c>
      <c r="Q194" s="6" t="n">
        <v>1.10470941883768</v>
      </c>
      <c r="R194" s="6" t="s">
        <v>75</v>
      </c>
    </row>
    <row r="195" customFormat="false" ht="15" hidden="false" customHeight="false" outlineLevel="0" collapsed="false">
      <c r="A195" s="5" t="n">
        <v>46203</v>
      </c>
      <c r="B195" s="6" t="s">
        <v>50</v>
      </c>
      <c r="C195" s="6" t="s">
        <v>35</v>
      </c>
      <c r="D195" s="6" t="n">
        <v>1</v>
      </c>
      <c r="E195" s="6"/>
      <c r="F195" s="6" t="n">
        <v>110</v>
      </c>
      <c r="G195" s="6" t="n">
        <v>1.93</v>
      </c>
      <c r="H195" s="6" t="n">
        <v>1.69</v>
      </c>
      <c r="I195" s="6" t="n">
        <v>177</v>
      </c>
      <c r="J195" s="6" t="n">
        <v>131.47</v>
      </c>
      <c r="K195" s="6"/>
      <c r="L195" s="6" t="n">
        <v>0</v>
      </c>
      <c r="M195" s="6"/>
      <c r="N195" s="6"/>
      <c r="O195" s="6"/>
      <c r="P195" s="6" t="n">
        <v>-0.24</v>
      </c>
      <c r="Q195" s="6" t="n">
        <v>0.875647668393782</v>
      </c>
      <c r="R195" s="6" t="s">
        <v>75</v>
      </c>
    </row>
    <row r="196" customFormat="false" ht="15" hidden="false" customHeight="false" outlineLevel="0" collapsed="false">
      <c r="A196" s="5" t="n">
        <v>46203</v>
      </c>
      <c r="B196" s="6" t="s">
        <v>50</v>
      </c>
      <c r="C196" s="6" t="s">
        <v>35</v>
      </c>
      <c r="D196" s="6" t="n">
        <v>2</v>
      </c>
      <c r="E196" s="6"/>
      <c r="F196" s="6" t="n">
        <v>110</v>
      </c>
      <c r="G196" s="6" t="n">
        <v>1.93</v>
      </c>
      <c r="H196" s="6" t="n">
        <v>1.72</v>
      </c>
      <c r="I196" s="6" t="n">
        <v>177</v>
      </c>
      <c r="J196" s="6" t="n">
        <v>136.66</v>
      </c>
      <c r="K196" s="6"/>
      <c r="L196" s="6" t="n">
        <v>0</v>
      </c>
      <c r="M196" s="6"/>
      <c r="N196" s="6"/>
      <c r="O196" s="6"/>
      <c r="P196" s="6" t="n">
        <v>-0.21</v>
      </c>
      <c r="Q196" s="6" t="n">
        <v>0.89119170984456</v>
      </c>
      <c r="R196" s="6" t="s">
        <v>75</v>
      </c>
    </row>
    <row r="197" customFormat="false" ht="15" hidden="false" customHeight="false" outlineLevel="0" collapsed="false">
      <c r="A197" s="5" t="n">
        <v>46203</v>
      </c>
      <c r="B197" s="6" t="s">
        <v>50</v>
      </c>
      <c r="C197" s="6" t="s">
        <v>35</v>
      </c>
      <c r="D197" s="6" t="n">
        <v>3</v>
      </c>
      <c r="E197" s="6"/>
      <c r="F197" s="6" t="n">
        <v>210</v>
      </c>
      <c r="G197" s="6" t="n">
        <v>3.9</v>
      </c>
      <c r="H197" s="6" t="n">
        <v>3.79</v>
      </c>
      <c r="I197" s="6" t="n">
        <v>358</v>
      </c>
      <c r="J197" s="6" t="n">
        <v>297.52</v>
      </c>
      <c r="K197" s="6"/>
      <c r="L197" s="6" t="n">
        <v>0</v>
      </c>
      <c r="M197" s="6"/>
      <c r="N197" s="6"/>
      <c r="O197" s="6"/>
      <c r="P197" s="6" t="n">
        <v>-0.11</v>
      </c>
      <c r="Q197" s="6" t="n">
        <v>0.971794871794872</v>
      </c>
      <c r="R197" s="6" t="s">
        <v>75</v>
      </c>
    </row>
    <row r="198" customFormat="false" ht="15" hidden="false" customHeight="false" outlineLevel="0" collapsed="false">
      <c r="A198" s="5" t="n">
        <v>46203</v>
      </c>
      <c r="B198" s="6" t="s">
        <v>50</v>
      </c>
      <c r="C198" s="6" t="s">
        <v>35</v>
      </c>
      <c r="D198" s="6" t="n">
        <v>4</v>
      </c>
      <c r="E198" s="6"/>
      <c r="F198" s="6" t="n">
        <v>210</v>
      </c>
      <c r="G198" s="6" t="n">
        <v>0</v>
      </c>
      <c r="H198" s="6" t="n">
        <v>3.61</v>
      </c>
      <c r="I198" s="6" t="n">
        <v>294</v>
      </c>
      <c r="J198" s="6" t="n">
        <v>150.12</v>
      </c>
      <c r="K198" s="6"/>
      <c r="L198" s="6" t="n">
        <v>0</v>
      </c>
      <c r="M198" s="6"/>
      <c r="N198" s="6"/>
      <c r="O198" s="6"/>
      <c r="P198" s="6" t="n">
        <v>3.61</v>
      </c>
      <c r="Q198" s="6"/>
      <c r="R198" s="6" t="s">
        <v>75</v>
      </c>
    </row>
    <row r="199" customFormat="false" ht="15" hidden="false" customHeight="false" outlineLevel="0" collapsed="false">
      <c r="A199" s="5" t="n">
        <v>46203</v>
      </c>
      <c r="B199" s="6" t="s">
        <v>50</v>
      </c>
      <c r="C199" s="6" t="s">
        <v>35</v>
      </c>
      <c r="D199" s="6" t="n">
        <v>5</v>
      </c>
      <c r="E199" s="6"/>
      <c r="F199" s="6" t="n">
        <v>210</v>
      </c>
      <c r="G199" s="6" t="n">
        <v>4</v>
      </c>
      <c r="H199" s="6" t="n">
        <v>4.08</v>
      </c>
      <c r="I199" s="6" t="n">
        <v>362</v>
      </c>
      <c r="J199" s="6" t="n">
        <v>294.2</v>
      </c>
      <c r="K199" s="6"/>
      <c r="L199" s="6" t="n">
        <v>0</v>
      </c>
      <c r="M199" s="6"/>
      <c r="N199" s="6"/>
      <c r="O199" s="6"/>
      <c r="P199" s="6" t="n">
        <v>0.0800000000000001</v>
      </c>
      <c r="Q199" s="6" t="n">
        <v>1.02</v>
      </c>
      <c r="R199" s="6" t="s">
        <v>75</v>
      </c>
    </row>
    <row r="200" customFormat="false" ht="15" hidden="false" customHeight="false" outlineLevel="0" collapsed="false">
      <c r="A200" s="5" t="n">
        <v>46203</v>
      </c>
      <c r="B200" s="6" t="s">
        <v>50</v>
      </c>
      <c r="C200" s="6" t="s">
        <v>35</v>
      </c>
      <c r="D200" s="6" t="n">
        <v>6</v>
      </c>
      <c r="E200" s="6"/>
      <c r="F200" s="6" t="n">
        <v>195</v>
      </c>
      <c r="G200" s="6" t="n">
        <v>4.1</v>
      </c>
      <c r="H200" s="6" t="n">
        <v>3.85</v>
      </c>
      <c r="I200" s="6" t="n">
        <v>371</v>
      </c>
      <c r="J200" s="6" t="n">
        <v>357.12</v>
      </c>
      <c r="K200" s="6"/>
      <c r="L200" s="6" t="n">
        <v>0</v>
      </c>
      <c r="M200" s="6"/>
      <c r="N200" s="6"/>
      <c r="O200" s="6"/>
      <c r="P200" s="6" t="n">
        <v>-0.25</v>
      </c>
      <c r="Q200" s="6" t="n">
        <v>0.939024390243903</v>
      </c>
      <c r="R200" s="6" t="s">
        <v>75</v>
      </c>
    </row>
    <row r="201" customFormat="false" ht="15" hidden="false" customHeight="false" outlineLevel="0" collapsed="false">
      <c r="A201" s="5" t="n">
        <v>46203</v>
      </c>
      <c r="B201" s="6" t="s">
        <v>50</v>
      </c>
      <c r="C201" s="6" t="s">
        <v>35</v>
      </c>
      <c r="D201" s="6" t="n">
        <v>7</v>
      </c>
      <c r="E201" s="6" t="s">
        <v>76</v>
      </c>
      <c r="F201" s="6" t="n">
        <v>195</v>
      </c>
      <c r="G201" s="6" t="n">
        <v>4.1</v>
      </c>
      <c r="H201" s="6" t="n">
        <v>3.31</v>
      </c>
      <c r="I201" s="6" t="n">
        <v>369</v>
      </c>
      <c r="J201" s="6" t="n">
        <v>317.89</v>
      </c>
      <c r="K201" s="6"/>
      <c r="L201" s="6" t="n">
        <v>195</v>
      </c>
      <c r="M201" s="7" t="n">
        <v>46203.8201388889</v>
      </c>
      <c r="N201" s="6"/>
      <c r="O201" s="6" t="s">
        <v>77</v>
      </c>
      <c r="P201" s="6" t="n">
        <v>-0.79</v>
      </c>
      <c r="Q201" s="6" t="n">
        <v>0.807317073170732</v>
      </c>
      <c r="R201" s="6" t="s">
        <v>75</v>
      </c>
    </row>
    <row r="202" customFormat="false" ht="15" hidden="false" customHeight="false" outlineLevel="0" collapsed="false">
      <c r="A202" s="5" t="n">
        <v>46204</v>
      </c>
      <c r="B202" s="6" t="s">
        <v>50</v>
      </c>
      <c r="C202" s="6" t="s">
        <v>5</v>
      </c>
      <c r="D202" s="6"/>
      <c r="E202" s="6"/>
      <c r="F202" s="6" t="n">
        <v>1240</v>
      </c>
      <c r="G202" s="6" t="n">
        <v>15.03</v>
      </c>
      <c r="H202" s="6" t="n">
        <v>22.1</v>
      </c>
      <c r="I202" s="6" t="n">
        <v>2123.03</v>
      </c>
      <c r="J202" s="6" t="n">
        <v>1708.04</v>
      </c>
      <c r="K202" s="6" t="n">
        <v>9</v>
      </c>
      <c r="L202" s="6" t="n">
        <v>195</v>
      </c>
      <c r="M202" s="6"/>
      <c r="N202" s="6"/>
      <c r="O202" s="6"/>
      <c r="P202" s="6" t="n">
        <v>7.07</v>
      </c>
      <c r="Q202" s="6" t="n">
        <v>1.47039254823686</v>
      </c>
      <c r="R202" s="6" t="s">
        <v>78</v>
      </c>
    </row>
    <row r="203" customFormat="false" ht="15" hidden="false" customHeight="false" outlineLevel="0" collapsed="false">
      <c r="A203" s="5" t="n">
        <v>46204</v>
      </c>
      <c r="B203" s="6" t="s">
        <v>50</v>
      </c>
      <c r="C203" s="6" t="s">
        <v>35</v>
      </c>
      <c r="D203" s="6" t="n">
        <v>1</v>
      </c>
      <c r="E203" s="6"/>
      <c r="F203" s="6" t="n">
        <v>110</v>
      </c>
      <c r="G203" s="6" t="n">
        <v>1.84</v>
      </c>
      <c r="H203" s="6" t="n">
        <v>1.71</v>
      </c>
      <c r="I203" s="6" t="n">
        <v>178.84</v>
      </c>
      <c r="J203" s="6" t="n">
        <v>133.35</v>
      </c>
      <c r="K203" s="6"/>
      <c r="L203" s="6" t="n">
        <v>0</v>
      </c>
      <c r="M203" s="6"/>
      <c r="N203" s="6"/>
      <c r="O203" s="6"/>
      <c r="P203" s="6" t="n">
        <v>-0.13</v>
      </c>
      <c r="Q203" s="6" t="n">
        <v>0.929347826086956</v>
      </c>
      <c r="R203" s="6" t="s">
        <v>78</v>
      </c>
    </row>
    <row r="204" customFormat="false" ht="15" hidden="false" customHeight="false" outlineLevel="0" collapsed="false">
      <c r="A204" s="5" t="n">
        <v>46204</v>
      </c>
      <c r="B204" s="6" t="s">
        <v>50</v>
      </c>
      <c r="C204" s="6" t="s">
        <v>35</v>
      </c>
      <c r="D204" s="6" t="n">
        <v>2</v>
      </c>
      <c r="E204" s="6"/>
      <c r="F204" s="6" t="n">
        <v>110</v>
      </c>
      <c r="G204" s="6" t="n">
        <v>1.87</v>
      </c>
      <c r="H204" s="6" t="n">
        <v>1.74</v>
      </c>
      <c r="I204" s="6" t="n">
        <v>178.87</v>
      </c>
      <c r="J204" s="6" t="n">
        <v>138.38</v>
      </c>
      <c r="K204" s="6"/>
      <c r="L204" s="6" t="n">
        <v>0</v>
      </c>
      <c r="M204" s="6"/>
      <c r="N204" s="6"/>
      <c r="O204" s="6"/>
      <c r="P204" s="6" t="n">
        <v>-0.13</v>
      </c>
      <c r="Q204" s="6" t="n">
        <v>0.93048128342246</v>
      </c>
      <c r="R204" s="6" t="s">
        <v>78</v>
      </c>
    </row>
    <row r="205" customFormat="false" ht="15" hidden="false" customHeight="false" outlineLevel="0" collapsed="false">
      <c r="A205" s="5" t="n">
        <v>46204</v>
      </c>
      <c r="B205" s="6" t="s">
        <v>50</v>
      </c>
      <c r="C205" s="6" t="s">
        <v>35</v>
      </c>
      <c r="D205" s="6" t="n">
        <v>3</v>
      </c>
      <c r="E205" s="6"/>
      <c r="F205" s="6" t="n">
        <v>210</v>
      </c>
      <c r="G205" s="6" t="n">
        <v>3.67</v>
      </c>
      <c r="H205" s="6" t="n">
        <v>3.82</v>
      </c>
      <c r="I205" s="6" t="n">
        <v>361.67</v>
      </c>
      <c r="J205" s="6" t="n">
        <v>301.42</v>
      </c>
      <c r="K205" s="6"/>
      <c r="L205" s="6" t="n">
        <v>0</v>
      </c>
      <c r="M205" s="6"/>
      <c r="N205" s="6"/>
      <c r="O205" s="6"/>
      <c r="P205" s="6" t="n">
        <v>0.15</v>
      </c>
      <c r="Q205" s="6" t="n">
        <v>1.04087193460491</v>
      </c>
      <c r="R205" s="6" t="s">
        <v>78</v>
      </c>
    </row>
    <row r="206" customFormat="false" ht="15" hidden="false" customHeight="false" outlineLevel="0" collapsed="false">
      <c r="A206" s="5" t="n">
        <v>46204</v>
      </c>
      <c r="B206" s="6" t="s">
        <v>50</v>
      </c>
      <c r="C206" s="6" t="s">
        <v>35</v>
      </c>
      <c r="D206" s="6" t="n">
        <v>4</v>
      </c>
      <c r="E206" s="6"/>
      <c r="F206" s="6" t="n">
        <v>210</v>
      </c>
      <c r="G206" s="6" t="n">
        <v>0</v>
      </c>
      <c r="H206" s="6" t="n">
        <v>3.63</v>
      </c>
      <c r="I206" s="6" t="n">
        <v>294</v>
      </c>
      <c r="J206" s="6" t="n">
        <v>153.75</v>
      </c>
      <c r="K206" s="6"/>
      <c r="L206" s="6" t="n">
        <v>0</v>
      </c>
      <c r="M206" s="6"/>
      <c r="N206" s="6"/>
      <c r="O206" s="6"/>
      <c r="P206" s="6" t="n">
        <v>3.63</v>
      </c>
      <c r="Q206" s="6"/>
      <c r="R206" s="6" t="s">
        <v>78</v>
      </c>
    </row>
    <row r="207" customFormat="false" ht="15" hidden="false" customHeight="false" outlineLevel="0" collapsed="false">
      <c r="A207" s="5" t="n">
        <v>46204</v>
      </c>
      <c r="B207" s="6" t="s">
        <v>50</v>
      </c>
      <c r="C207" s="6" t="s">
        <v>35</v>
      </c>
      <c r="D207" s="6" t="n">
        <v>5</v>
      </c>
      <c r="E207" s="6"/>
      <c r="F207" s="6" t="n">
        <v>210</v>
      </c>
      <c r="G207" s="6" t="n">
        <v>3.81</v>
      </c>
      <c r="H207" s="6" t="n">
        <v>4.06</v>
      </c>
      <c r="I207" s="6" t="n">
        <v>365.81</v>
      </c>
      <c r="J207" s="6" t="n">
        <v>298.51</v>
      </c>
      <c r="K207" s="6"/>
      <c r="L207" s="6" t="n">
        <v>0</v>
      </c>
      <c r="M207" s="6"/>
      <c r="N207" s="6"/>
      <c r="O207" s="6"/>
      <c r="P207" s="6" t="n">
        <v>0.25</v>
      </c>
      <c r="Q207" s="6" t="n">
        <v>1.06561679790026</v>
      </c>
      <c r="R207" s="6" t="s">
        <v>78</v>
      </c>
    </row>
    <row r="208" customFormat="false" ht="15" hidden="false" customHeight="false" outlineLevel="0" collapsed="false">
      <c r="A208" s="5" t="n">
        <v>46204</v>
      </c>
      <c r="B208" s="6" t="s">
        <v>50</v>
      </c>
      <c r="C208" s="6" t="s">
        <v>35</v>
      </c>
      <c r="D208" s="6" t="n">
        <v>6</v>
      </c>
      <c r="E208" s="6"/>
      <c r="F208" s="6" t="n">
        <v>195</v>
      </c>
      <c r="G208" s="6" t="n">
        <v>3.84</v>
      </c>
      <c r="H208" s="6" t="n">
        <v>3.86</v>
      </c>
      <c r="I208" s="6" t="n">
        <v>374.84</v>
      </c>
      <c r="J208" s="6" t="n">
        <v>361.45</v>
      </c>
      <c r="K208" s="6"/>
      <c r="L208" s="6" t="n">
        <v>0</v>
      </c>
      <c r="M208" s="6"/>
      <c r="N208" s="6"/>
      <c r="O208" s="6"/>
      <c r="P208" s="6" t="n">
        <v>0.02</v>
      </c>
      <c r="Q208" s="6" t="n">
        <v>1.00520833333333</v>
      </c>
      <c r="R208" s="6" t="s">
        <v>78</v>
      </c>
    </row>
    <row r="209" customFormat="false" ht="15" hidden="false" customHeight="false" outlineLevel="0" collapsed="false">
      <c r="A209" s="5" t="n">
        <v>46204</v>
      </c>
      <c r="B209" s="6" t="s">
        <v>50</v>
      </c>
      <c r="C209" s="6" t="s">
        <v>35</v>
      </c>
      <c r="D209" s="6" t="n">
        <v>7</v>
      </c>
      <c r="E209" s="6" t="s">
        <v>79</v>
      </c>
      <c r="F209" s="6" t="n">
        <v>195</v>
      </c>
      <c r="G209" s="6" t="n">
        <v>0</v>
      </c>
      <c r="H209" s="6" t="n">
        <v>3.28</v>
      </c>
      <c r="I209" s="6" t="n">
        <v>369</v>
      </c>
      <c r="J209" s="6" t="n">
        <v>321.18</v>
      </c>
      <c r="K209" s="6"/>
      <c r="L209" s="6" t="n">
        <v>195</v>
      </c>
      <c r="M209" s="7" t="n">
        <v>46203.8201388889</v>
      </c>
      <c r="N209" s="7" t="n">
        <v>46204.1493055556</v>
      </c>
      <c r="O209" s="6" t="s">
        <v>77</v>
      </c>
      <c r="P209" s="6" t="n">
        <v>3.28</v>
      </c>
      <c r="Q209" s="6"/>
      <c r="R209" s="6" t="s">
        <v>78</v>
      </c>
    </row>
    <row r="210" customFormat="false" ht="15" hidden="false" customHeight="false" outlineLevel="0" collapsed="false">
      <c r="A210" s="5" t="n">
        <v>46205</v>
      </c>
      <c r="B210" s="6" t="s">
        <v>50</v>
      </c>
      <c r="C210" s="6" t="s">
        <v>5</v>
      </c>
      <c r="D210" s="6"/>
      <c r="E210" s="6"/>
      <c r="F210" s="6" t="n">
        <v>1240</v>
      </c>
      <c r="G210" s="6" t="n">
        <v>15.03</v>
      </c>
      <c r="H210" s="6" t="n">
        <v>22.87</v>
      </c>
      <c r="I210" s="6" t="n">
        <v>2138.06</v>
      </c>
      <c r="J210" s="6" t="n">
        <v>1730.91</v>
      </c>
      <c r="K210" s="6" t="n">
        <v>9</v>
      </c>
      <c r="L210" s="6" t="n">
        <v>0</v>
      </c>
      <c r="M210" s="6"/>
      <c r="N210" s="6"/>
      <c r="O210" s="6"/>
      <c r="P210" s="6" t="n">
        <v>7.84</v>
      </c>
      <c r="Q210" s="6" t="n">
        <v>1.52162341982701</v>
      </c>
      <c r="R210" s="6" t="s">
        <v>80</v>
      </c>
    </row>
    <row r="211" customFormat="false" ht="15" hidden="false" customHeight="false" outlineLevel="0" collapsed="false">
      <c r="A211" s="5" t="n">
        <v>46205</v>
      </c>
      <c r="B211" s="6" t="s">
        <v>50</v>
      </c>
      <c r="C211" s="6" t="s">
        <v>35</v>
      </c>
      <c r="D211" s="6" t="n">
        <v>1</v>
      </c>
      <c r="E211" s="6"/>
      <c r="F211" s="6" t="n">
        <v>110</v>
      </c>
      <c r="G211" s="6" t="n">
        <v>1.84</v>
      </c>
      <c r="H211" s="6" t="n">
        <v>1.71</v>
      </c>
      <c r="I211" s="6" t="n">
        <v>180.68</v>
      </c>
      <c r="J211" s="6" t="n">
        <v>135.06</v>
      </c>
      <c r="K211" s="6"/>
      <c r="L211" s="6" t="n">
        <v>0</v>
      </c>
      <c r="M211" s="6"/>
      <c r="N211" s="6"/>
      <c r="O211" s="6"/>
      <c r="P211" s="6" t="n">
        <v>-0.13</v>
      </c>
      <c r="Q211" s="6" t="n">
        <v>0.929347826086956</v>
      </c>
      <c r="R211" s="6" t="s">
        <v>80</v>
      </c>
    </row>
    <row r="212" customFormat="false" ht="15" hidden="false" customHeight="false" outlineLevel="0" collapsed="false">
      <c r="A212" s="5" t="n">
        <v>46205</v>
      </c>
      <c r="B212" s="6" t="s">
        <v>50</v>
      </c>
      <c r="C212" s="6" t="s">
        <v>35</v>
      </c>
      <c r="D212" s="6" t="n">
        <v>2</v>
      </c>
      <c r="E212" s="6"/>
      <c r="F212" s="6" t="n">
        <v>110</v>
      </c>
      <c r="G212" s="6" t="n">
        <v>1.87</v>
      </c>
      <c r="H212" s="6" t="n">
        <v>1.76</v>
      </c>
      <c r="I212" s="6" t="n">
        <v>180.74</v>
      </c>
      <c r="J212" s="6" t="n">
        <v>140.14</v>
      </c>
      <c r="K212" s="6"/>
      <c r="L212" s="6" t="n">
        <v>0</v>
      </c>
      <c r="M212" s="6"/>
      <c r="N212" s="6"/>
      <c r="O212" s="6"/>
      <c r="P212" s="6" t="n">
        <v>-0.11</v>
      </c>
      <c r="Q212" s="6" t="n">
        <v>0.941176470588235</v>
      </c>
      <c r="R212" s="6" t="s">
        <v>80</v>
      </c>
    </row>
    <row r="213" customFormat="false" ht="15" hidden="false" customHeight="false" outlineLevel="0" collapsed="false">
      <c r="A213" s="5" t="n">
        <v>46205</v>
      </c>
      <c r="B213" s="6" t="s">
        <v>50</v>
      </c>
      <c r="C213" s="6" t="s">
        <v>35</v>
      </c>
      <c r="D213" s="6" t="n">
        <v>3</v>
      </c>
      <c r="E213" s="6"/>
      <c r="F213" s="6" t="n">
        <v>210</v>
      </c>
      <c r="G213" s="6" t="n">
        <v>3.67</v>
      </c>
      <c r="H213" s="6" t="n">
        <v>3.82</v>
      </c>
      <c r="I213" s="6" t="n">
        <v>365.34</v>
      </c>
      <c r="J213" s="6" t="n">
        <v>305.24</v>
      </c>
      <c r="K213" s="6"/>
      <c r="L213" s="6" t="n">
        <v>0</v>
      </c>
      <c r="M213" s="6"/>
      <c r="N213" s="6"/>
      <c r="O213" s="6"/>
      <c r="P213" s="6" t="n">
        <v>0.15</v>
      </c>
      <c r="Q213" s="6" t="n">
        <v>1.04087193460491</v>
      </c>
      <c r="R213" s="6" t="s">
        <v>80</v>
      </c>
    </row>
    <row r="214" customFormat="false" ht="15" hidden="false" customHeight="false" outlineLevel="0" collapsed="false">
      <c r="A214" s="5" t="n">
        <v>46205</v>
      </c>
      <c r="B214" s="6" t="s">
        <v>50</v>
      </c>
      <c r="C214" s="6" t="s">
        <v>35</v>
      </c>
      <c r="D214" s="6" t="n">
        <v>4</v>
      </c>
      <c r="E214" s="6"/>
      <c r="F214" s="6" t="n">
        <v>210</v>
      </c>
      <c r="G214" s="6" t="n">
        <v>0</v>
      </c>
      <c r="H214" s="6" t="n">
        <v>3.58</v>
      </c>
      <c r="I214" s="6" t="n">
        <v>294</v>
      </c>
      <c r="J214" s="6" t="n">
        <v>157.33</v>
      </c>
      <c r="K214" s="6"/>
      <c r="L214" s="6" t="n">
        <v>0</v>
      </c>
      <c r="M214" s="6"/>
      <c r="N214" s="6"/>
      <c r="O214" s="6"/>
      <c r="P214" s="6" t="n">
        <v>3.58</v>
      </c>
      <c r="Q214" s="6"/>
      <c r="R214" s="6" t="s">
        <v>80</v>
      </c>
    </row>
    <row r="215" customFormat="false" ht="15" hidden="false" customHeight="false" outlineLevel="0" collapsed="false">
      <c r="A215" s="5" t="n">
        <v>46205</v>
      </c>
      <c r="B215" s="6" t="s">
        <v>50</v>
      </c>
      <c r="C215" s="6" t="s">
        <v>35</v>
      </c>
      <c r="D215" s="6" t="n">
        <v>5</v>
      </c>
      <c r="E215" s="6"/>
      <c r="F215" s="6" t="n">
        <v>210</v>
      </c>
      <c r="G215" s="6" t="n">
        <v>3.81</v>
      </c>
      <c r="H215" s="6" t="n">
        <v>4.08</v>
      </c>
      <c r="I215" s="6" t="n">
        <v>369.62</v>
      </c>
      <c r="J215" s="6" t="n">
        <v>302.59</v>
      </c>
      <c r="K215" s="6"/>
      <c r="L215" s="6" t="n">
        <v>0</v>
      </c>
      <c r="M215" s="6"/>
      <c r="N215" s="6"/>
      <c r="O215" s="6"/>
      <c r="P215" s="6" t="n">
        <v>0.27</v>
      </c>
      <c r="Q215" s="6" t="n">
        <v>1.07086614173228</v>
      </c>
      <c r="R215" s="6" t="s">
        <v>80</v>
      </c>
    </row>
    <row r="216" customFormat="false" ht="15" hidden="false" customHeight="false" outlineLevel="0" collapsed="false">
      <c r="A216" s="5" t="n">
        <v>46205</v>
      </c>
      <c r="B216" s="6" t="s">
        <v>50</v>
      </c>
      <c r="C216" s="6" t="s">
        <v>35</v>
      </c>
      <c r="D216" s="6" t="n">
        <v>6</v>
      </c>
      <c r="E216" s="6"/>
      <c r="F216" s="6" t="n">
        <v>195</v>
      </c>
      <c r="G216" s="6" t="n">
        <v>3.84</v>
      </c>
      <c r="H216" s="6" t="n">
        <v>3.85</v>
      </c>
      <c r="I216" s="6" t="n">
        <v>378.68</v>
      </c>
      <c r="J216" s="6" t="n">
        <v>365.3</v>
      </c>
      <c r="K216" s="6"/>
      <c r="L216" s="6" t="n">
        <v>0</v>
      </c>
      <c r="M216" s="6"/>
      <c r="N216" s="6"/>
      <c r="O216" s="6"/>
      <c r="P216" s="6" t="n">
        <v>0.0100000000000002</v>
      </c>
      <c r="Q216" s="6" t="n">
        <v>1.00260416666667</v>
      </c>
      <c r="R216" s="6" t="s">
        <v>80</v>
      </c>
    </row>
    <row r="217" customFormat="false" ht="15" hidden="false" customHeight="false" outlineLevel="0" collapsed="false">
      <c r="A217" s="5" t="n">
        <v>46205</v>
      </c>
      <c r="B217" s="6" t="s">
        <v>50</v>
      </c>
      <c r="C217" s="6" t="s">
        <v>35</v>
      </c>
      <c r="D217" s="6" t="n">
        <v>7</v>
      </c>
      <c r="E217" s="6"/>
      <c r="F217" s="6" t="n">
        <v>195</v>
      </c>
      <c r="G217" s="6" t="n">
        <v>0</v>
      </c>
      <c r="H217" s="6" t="n">
        <v>4.07</v>
      </c>
      <c r="I217" s="6" t="n">
        <v>369</v>
      </c>
      <c r="J217" s="6" t="n">
        <v>325.25</v>
      </c>
      <c r="K217" s="6"/>
      <c r="L217" s="6" t="n">
        <v>0</v>
      </c>
      <c r="M217" s="6"/>
      <c r="N217" s="6"/>
      <c r="O217" s="6"/>
      <c r="P217" s="6" t="n">
        <v>4.07</v>
      </c>
      <c r="Q217" s="6"/>
      <c r="R217" s="6" t="s">
        <v>80</v>
      </c>
    </row>
    <row r="218" customFormat="false" ht="15" hidden="false" customHeight="false" outlineLevel="0" collapsed="false">
      <c r="A218" s="5" t="n">
        <v>46206</v>
      </c>
      <c r="B218" s="6" t="s">
        <v>50</v>
      </c>
      <c r="C218" s="6" t="s">
        <v>5</v>
      </c>
      <c r="D218" s="6"/>
      <c r="E218" s="6"/>
      <c r="F218" s="6" t="n">
        <v>1240</v>
      </c>
      <c r="G218" s="6" t="n">
        <v>15.03</v>
      </c>
      <c r="H218" s="6" t="n">
        <v>21.56</v>
      </c>
      <c r="I218" s="6" t="n">
        <v>2153.09</v>
      </c>
      <c r="J218" s="6" t="n">
        <v>1752.47</v>
      </c>
      <c r="K218" s="6" t="n">
        <v>9</v>
      </c>
      <c r="L218" s="6" t="n">
        <v>0</v>
      </c>
      <c r="M218" s="6"/>
      <c r="N218" s="6"/>
      <c r="O218" s="6"/>
      <c r="P218" s="6" t="n">
        <v>6.53</v>
      </c>
      <c r="Q218" s="6" t="n">
        <v>1.43446440452429</v>
      </c>
      <c r="R218" s="6" t="s">
        <v>81</v>
      </c>
    </row>
    <row r="219" customFormat="false" ht="15" hidden="false" customHeight="false" outlineLevel="0" collapsed="false">
      <c r="A219" s="5" t="n">
        <v>46206</v>
      </c>
      <c r="B219" s="6" t="s">
        <v>50</v>
      </c>
      <c r="C219" s="6" t="s">
        <v>35</v>
      </c>
      <c r="D219" s="6" t="n">
        <v>1</v>
      </c>
      <c r="E219" s="6"/>
      <c r="F219" s="6" t="n">
        <v>110</v>
      </c>
      <c r="G219" s="6" t="n">
        <v>1.84</v>
      </c>
      <c r="H219" s="6" t="n">
        <v>1.54</v>
      </c>
      <c r="I219" s="6" t="n">
        <v>182.52</v>
      </c>
      <c r="J219" s="6" t="n">
        <v>136.6</v>
      </c>
      <c r="K219" s="6"/>
      <c r="L219" s="6" t="n">
        <v>0</v>
      </c>
      <c r="M219" s="6"/>
      <c r="N219" s="6"/>
      <c r="O219" s="6"/>
      <c r="P219" s="6" t="n">
        <v>-0.3</v>
      </c>
      <c r="Q219" s="6" t="n">
        <v>0.83695652173913</v>
      </c>
      <c r="R219" s="6" t="s">
        <v>81</v>
      </c>
    </row>
    <row r="220" customFormat="false" ht="15" hidden="false" customHeight="false" outlineLevel="0" collapsed="false">
      <c r="A220" s="5" t="n">
        <v>46206</v>
      </c>
      <c r="B220" s="6" t="s">
        <v>50</v>
      </c>
      <c r="C220" s="6" t="s">
        <v>35</v>
      </c>
      <c r="D220" s="6" t="n">
        <v>2</v>
      </c>
      <c r="E220" s="6"/>
      <c r="F220" s="6" t="n">
        <v>110</v>
      </c>
      <c r="G220" s="6" t="n">
        <v>1.87</v>
      </c>
      <c r="H220" s="6" t="n">
        <v>1.58</v>
      </c>
      <c r="I220" s="6" t="n">
        <v>182.61</v>
      </c>
      <c r="J220" s="6" t="n">
        <v>141.72</v>
      </c>
      <c r="K220" s="6"/>
      <c r="L220" s="6" t="n">
        <v>0</v>
      </c>
      <c r="M220" s="6"/>
      <c r="N220" s="6"/>
      <c r="O220" s="6"/>
      <c r="P220" s="6" t="n">
        <v>-0.29</v>
      </c>
      <c r="Q220" s="6" t="n">
        <v>0.844919786096257</v>
      </c>
      <c r="R220" s="6" t="s">
        <v>81</v>
      </c>
    </row>
    <row r="221" customFormat="false" ht="15" hidden="false" customHeight="false" outlineLevel="0" collapsed="false">
      <c r="A221" s="5" t="n">
        <v>46206</v>
      </c>
      <c r="B221" s="6" t="s">
        <v>50</v>
      </c>
      <c r="C221" s="6" t="s">
        <v>35</v>
      </c>
      <c r="D221" s="6" t="n">
        <v>3</v>
      </c>
      <c r="E221" s="6"/>
      <c r="F221" s="6" t="n">
        <v>210</v>
      </c>
      <c r="G221" s="6" t="n">
        <v>3.67</v>
      </c>
      <c r="H221" s="6" t="n">
        <v>3.59</v>
      </c>
      <c r="I221" s="6" t="n">
        <v>369.01</v>
      </c>
      <c r="J221" s="6" t="n">
        <v>308.83</v>
      </c>
      <c r="K221" s="6"/>
      <c r="L221" s="6" t="n">
        <v>0</v>
      </c>
      <c r="M221" s="6"/>
      <c r="N221" s="6"/>
      <c r="O221" s="6"/>
      <c r="P221" s="6" t="n">
        <v>-0.0800000000000001</v>
      </c>
      <c r="Q221" s="6" t="n">
        <v>0.978201634877384</v>
      </c>
      <c r="R221" s="6" t="s">
        <v>81</v>
      </c>
    </row>
    <row r="222" customFormat="false" ht="15" hidden="false" customHeight="false" outlineLevel="0" collapsed="false">
      <c r="A222" s="5" t="n">
        <v>46206</v>
      </c>
      <c r="B222" s="6" t="s">
        <v>50</v>
      </c>
      <c r="C222" s="6" t="s">
        <v>35</v>
      </c>
      <c r="D222" s="6" t="n">
        <v>4</v>
      </c>
      <c r="E222" s="6"/>
      <c r="F222" s="6" t="n">
        <v>210</v>
      </c>
      <c r="G222" s="6" t="n">
        <v>0</v>
      </c>
      <c r="H222" s="6" t="n">
        <v>3.17</v>
      </c>
      <c r="I222" s="6" t="n">
        <v>294</v>
      </c>
      <c r="J222" s="6" t="n">
        <v>160.5</v>
      </c>
      <c r="K222" s="6"/>
      <c r="L222" s="6" t="n">
        <v>0</v>
      </c>
      <c r="M222" s="6"/>
      <c r="N222" s="6"/>
      <c r="O222" s="6"/>
      <c r="P222" s="6" t="n">
        <v>3.17</v>
      </c>
      <c r="Q222" s="6"/>
      <c r="R222" s="6" t="s">
        <v>81</v>
      </c>
    </row>
    <row r="223" customFormat="false" ht="15" hidden="false" customHeight="false" outlineLevel="0" collapsed="false">
      <c r="A223" s="5" t="n">
        <v>46206</v>
      </c>
      <c r="B223" s="6" t="s">
        <v>50</v>
      </c>
      <c r="C223" s="6" t="s">
        <v>35</v>
      </c>
      <c r="D223" s="6" t="n">
        <v>5</v>
      </c>
      <c r="E223" s="6"/>
      <c r="F223" s="6" t="n">
        <v>210</v>
      </c>
      <c r="G223" s="6" t="n">
        <v>3.81</v>
      </c>
      <c r="H223" s="6" t="n">
        <v>3.88</v>
      </c>
      <c r="I223" s="6" t="n">
        <v>373.43</v>
      </c>
      <c r="J223" s="6" t="n">
        <v>306.47</v>
      </c>
      <c r="K223" s="6"/>
      <c r="L223" s="6" t="n">
        <v>0</v>
      </c>
      <c r="M223" s="6"/>
      <c r="N223" s="6"/>
      <c r="O223" s="6"/>
      <c r="P223" s="6" t="n">
        <v>0.0699999999999998</v>
      </c>
      <c r="Q223" s="6" t="n">
        <v>1.01837270341207</v>
      </c>
      <c r="R223" s="6" t="s">
        <v>81</v>
      </c>
    </row>
    <row r="224" customFormat="false" ht="15" hidden="false" customHeight="false" outlineLevel="0" collapsed="false">
      <c r="A224" s="5" t="n">
        <v>46206</v>
      </c>
      <c r="B224" s="6" t="s">
        <v>50</v>
      </c>
      <c r="C224" s="6" t="s">
        <v>35</v>
      </c>
      <c r="D224" s="6" t="n">
        <v>6</v>
      </c>
      <c r="E224" s="6"/>
      <c r="F224" s="6" t="n">
        <v>195</v>
      </c>
      <c r="G224" s="6" t="n">
        <v>3.84</v>
      </c>
      <c r="H224" s="6" t="n">
        <v>3.84</v>
      </c>
      <c r="I224" s="6" t="n">
        <v>382.52</v>
      </c>
      <c r="J224" s="6" t="n">
        <v>369.14</v>
      </c>
      <c r="K224" s="6"/>
      <c r="L224" s="6" t="n">
        <v>0</v>
      </c>
      <c r="M224" s="6"/>
      <c r="N224" s="6"/>
      <c r="O224" s="6"/>
      <c r="P224" s="6" t="n">
        <v>0</v>
      </c>
      <c r="Q224" s="6" t="n">
        <v>1</v>
      </c>
      <c r="R224" s="6" t="s">
        <v>81</v>
      </c>
    </row>
    <row r="225" customFormat="false" ht="15" hidden="false" customHeight="false" outlineLevel="0" collapsed="false">
      <c r="A225" s="5" t="n">
        <v>46206</v>
      </c>
      <c r="B225" s="6" t="s">
        <v>50</v>
      </c>
      <c r="C225" s="6" t="s">
        <v>35</v>
      </c>
      <c r="D225" s="6" t="n">
        <v>7</v>
      </c>
      <c r="E225" s="6"/>
      <c r="F225" s="6" t="n">
        <v>195</v>
      </c>
      <c r="G225" s="6" t="n">
        <v>0</v>
      </c>
      <c r="H225" s="6" t="n">
        <v>3.96</v>
      </c>
      <c r="I225" s="6" t="n">
        <v>369</v>
      </c>
      <c r="J225" s="6" t="n">
        <v>329.21</v>
      </c>
      <c r="K225" s="6"/>
      <c r="L225" s="6" t="n">
        <v>0</v>
      </c>
      <c r="M225" s="6"/>
      <c r="N225" s="6"/>
      <c r="O225" s="6"/>
      <c r="P225" s="6" t="n">
        <v>3.96</v>
      </c>
      <c r="Q225" s="6"/>
      <c r="R225" s="6" t="s">
        <v>81</v>
      </c>
    </row>
    <row r="226" customFormat="false" ht="15" hidden="false" customHeight="false" outlineLevel="0" collapsed="false">
      <c r="A226" s="5" t="n">
        <v>46207</v>
      </c>
      <c r="B226" s="6" t="s">
        <v>50</v>
      </c>
      <c r="C226" s="6" t="s">
        <v>5</v>
      </c>
      <c r="D226" s="6"/>
      <c r="E226" s="6"/>
      <c r="F226" s="6" t="n">
        <v>1240</v>
      </c>
      <c r="G226" s="6" t="n">
        <v>15.03</v>
      </c>
      <c r="H226" s="6" t="n">
        <v>21.81</v>
      </c>
      <c r="I226" s="6" t="n">
        <v>2168.12</v>
      </c>
      <c r="J226" s="6" t="n">
        <v>1774.28</v>
      </c>
      <c r="K226" s="6" t="n">
        <v>9</v>
      </c>
      <c r="L226" s="6" t="n">
        <v>0</v>
      </c>
      <c r="M226" s="6"/>
      <c r="N226" s="6"/>
      <c r="O226" s="6"/>
      <c r="P226" s="6" t="n">
        <v>6.78</v>
      </c>
      <c r="Q226" s="6" t="n">
        <v>1.45109780439122</v>
      </c>
      <c r="R226" s="6" t="s">
        <v>82</v>
      </c>
    </row>
    <row r="227" customFormat="false" ht="15" hidden="false" customHeight="false" outlineLevel="0" collapsed="false">
      <c r="A227" s="5" t="n">
        <v>46207</v>
      </c>
      <c r="B227" s="6" t="s">
        <v>50</v>
      </c>
      <c r="C227" s="6" t="s">
        <v>35</v>
      </c>
      <c r="D227" s="6" t="n">
        <v>1</v>
      </c>
      <c r="E227" s="6"/>
      <c r="F227" s="6" t="n">
        <v>110</v>
      </c>
      <c r="G227" s="6" t="n">
        <v>1.84</v>
      </c>
      <c r="H227" s="6" t="n">
        <v>1.58</v>
      </c>
      <c r="I227" s="6" t="n">
        <v>184.36</v>
      </c>
      <c r="J227" s="6" t="n">
        <v>138.18</v>
      </c>
      <c r="K227" s="6"/>
      <c r="L227" s="6" t="n">
        <v>0</v>
      </c>
      <c r="M227" s="6"/>
      <c r="N227" s="6"/>
      <c r="O227" s="6"/>
      <c r="P227" s="6" t="n">
        <v>-0.26</v>
      </c>
      <c r="Q227" s="6" t="n">
        <v>0.858695652173913</v>
      </c>
      <c r="R227" s="6" t="s">
        <v>82</v>
      </c>
    </row>
    <row r="228" customFormat="false" ht="15" hidden="false" customHeight="false" outlineLevel="0" collapsed="false">
      <c r="A228" s="5" t="n">
        <v>46207</v>
      </c>
      <c r="B228" s="6" t="s">
        <v>50</v>
      </c>
      <c r="C228" s="6" t="s">
        <v>35</v>
      </c>
      <c r="D228" s="6" t="n">
        <v>2</v>
      </c>
      <c r="E228" s="6"/>
      <c r="F228" s="6" t="n">
        <v>110</v>
      </c>
      <c r="G228" s="6" t="n">
        <v>1.87</v>
      </c>
      <c r="H228" s="6" t="n">
        <v>1.63</v>
      </c>
      <c r="I228" s="6" t="n">
        <v>184.48</v>
      </c>
      <c r="J228" s="6" t="n">
        <v>143.35</v>
      </c>
      <c r="K228" s="6"/>
      <c r="L228" s="6" t="n">
        <v>0</v>
      </c>
      <c r="M228" s="6"/>
      <c r="N228" s="6"/>
      <c r="O228" s="6"/>
      <c r="P228" s="6" t="n">
        <v>-0.24</v>
      </c>
      <c r="Q228" s="6" t="n">
        <v>0.871657754010695</v>
      </c>
      <c r="R228" s="6" t="s">
        <v>82</v>
      </c>
    </row>
    <row r="229" customFormat="false" ht="15" hidden="false" customHeight="false" outlineLevel="0" collapsed="false">
      <c r="A229" s="5" t="n">
        <v>46207</v>
      </c>
      <c r="B229" s="6" t="s">
        <v>50</v>
      </c>
      <c r="C229" s="6" t="s">
        <v>35</v>
      </c>
      <c r="D229" s="6" t="n">
        <v>3</v>
      </c>
      <c r="E229" s="6"/>
      <c r="F229" s="6" t="n">
        <v>210</v>
      </c>
      <c r="G229" s="6" t="n">
        <v>3.67</v>
      </c>
      <c r="H229" s="6" t="n">
        <v>3.62</v>
      </c>
      <c r="I229" s="6" t="n">
        <v>372.68</v>
      </c>
      <c r="J229" s="6" t="n">
        <v>312.45</v>
      </c>
      <c r="K229" s="6"/>
      <c r="L229" s="6" t="n">
        <v>0</v>
      </c>
      <c r="M229" s="6"/>
      <c r="N229" s="6"/>
      <c r="O229" s="6"/>
      <c r="P229" s="6" t="n">
        <v>-0.0499999999999998</v>
      </c>
      <c r="Q229" s="6" t="n">
        <v>0.986376021798365</v>
      </c>
      <c r="R229" s="6" t="s">
        <v>82</v>
      </c>
    </row>
    <row r="230" customFormat="false" ht="15" hidden="false" customHeight="false" outlineLevel="0" collapsed="false">
      <c r="A230" s="5" t="n">
        <v>46207</v>
      </c>
      <c r="B230" s="6" t="s">
        <v>50</v>
      </c>
      <c r="C230" s="6" t="s">
        <v>35</v>
      </c>
      <c r="D230" s="6" t="n">
        <v>4</v>
      </c>
      <c r="E230" s="6"/>
      <c r="F230" s="6" t="n">
        <v>210</v>
      </c>
      <c r="G230" s="6" t="n">
        <v>0</v>
      </c>
      <c r="H230" s="6" t="n">
        <v>3.25</v>
      </c>
      <c r="I230" s="6" t="n">
        <v>294</v>
      </c>
      <c r="J230" s="6" t="n">
        <v>163.75</v>
      </c>
      <c r="K230" s="6"/>
      <c r="L230" s="6" t="n">
        <v>0</v>
      </c>
      <c r="M230" s="6"/>
      <c r="N230" s="6"/>
      <c r="O230" s="6"/>
      <c r="P230" s="6" t="n">
        <v>3.25</v>
      </c>
      <c r="Q230" s="6"/>
      <c r="R230" s="6" t="s">
        <v>82</v>
      </c>
    </row>
    <row r="231" customFormat="false" ht="15" hidden="false" customHeight="false" outlineLevel="0" collapsed="false">
      <c r="A231" s="5" t="n">
        <v>46207</v>
      </c>
      <c r="B231" s="6" t="s">
        <v>50</v>
      </c>
      <c r="C231" s="6" t="s">
        <v>35</v>
      </c>
      <c r="D231" s="6" t="n">
        <v>5</v>
      </c>
      <c r="E231" s="6"/>
      <c r="F231" s="6" t="n">
        <v>210</v>
      </c>
      <c r="G231" s="6" t="n">
        <v>3.81</v>
      </c>
      <c r="H231" s="6" t="n">
        <v>3.96</v>
      </c>
      <c r="I231" s="6" t="n">
        <v>377.24</v>
      </c>
      <c r="J231" s="6" t="n">
        <v>310.43</v>
      </c>
      <c r="K231" s="6"/>
      <c r="L231" s="6" t="n">
        <v>0</v>
      </c>
      <c r="M231" s="6"/>
      <c r="N231" s="6"/>
      <c r="O231" s="6"/>
      <c r="P231" s="6" t="n">
        <v>0.15</v>
      </c>
      <c r="Q231" s="6" t="n">
        <v>1.03937007874016</v>
      </c>
      <c r="R231" s="6" t="s">
        <v>82</v>
      </c>
    </row>
    <row r="232" customFormat="false" ht="15" hidden="false" customHeight="false" outlineLevel="0" collapsed="false">
      <c r="A232" s="5" t="n">
        <v>46207</v>
      </c>
      <c r="B232" s="6" t="s">
        <v>50</v>
      </c>
      <c r="C232" s="6" t="s">
        <v>35</v>
      </c>
      <c r="D232" s="6" t="n">
        <v>6</v>
      </c>
      <c r="E232" s="6"/>
      <c r="F232" s="6" t="n">
        <v>195</v>
      </c>
      <c r="G232" s="6" t="n">
        <v>3.84</v>
      </c>
      <c r="H232" s="6" t="n">
        <v>3.82</v>
      </c>
      <c r="I232" s="6" t="n">
        <v>386.36</v>
      </c>
      <c r="J232" s="6" t="n">
        <v>372.96</v>
      </c>
      <c r="K232" s="6"/>
      <c r="L232" s="6" t="n">
        <v>0</v>
      </c>
      <c r="M232" s="6"/>
      <c r="N232" s="6"/>
      <c r="O232" s="6"/>
      <c r="P232" s="6" t="n">
        <v>-0.02</v>
      </c>
      <c r="Q232" s="6" t="n">
        <v>0.994791666666667</v>
      </c>
      <c r="R232" s="6" t="s">
        <v>82</v>
      </c>
    </row>
    <row r="233" customFormat="false" ht="15" hidden="false" customHeight="false" outlineLevel="0" collapsed="false">
      <c r="A233" s="5" t="n">
        <v>46207</v>
      </c>
      <c r="B233" s="6" t="s">
        <v>50</v>
      </c>
      <c r="C233" s="6" t="s">
        <v>35</v>
      </c>
      <c r="D233" s="6" t="n">
        <v>7</v>
      </c>
      <c r="E233" s="6"/>
      <c r="F233" s="6" t="n">
        <v>195</v>
      </c>
      <c r="G233" s="6" t="n">
        <v>0</v>
      </c>
      <c r="H233" s="6" t="n">
        <v>3.95</v>
      </c>
      <c r="I233" s="6" t="n">
        <v>369</v>
      </c>
      <c r="J233" s="6" t="n">
        <v>333.16</v>
      </c>
      <c r="K233" s="6"/>
      <c r="L233" s="6" t="n">
        <v>0</v>
      </c>
      <c r="M233" s="6"/>
      <c r="N233" s="6"/>
      <c r="O233" s="6"/>
      <c r="P233" s="6" t="n">
        <v>3.95</v>
      </c>
      <c r="Q233" s="6"/>
      <c r="R233" s="6" t="s">
        <v>82</v>
      </c>
    </row>
    <row r="234" customFormat="false" ht="15" hidden="false" customHeight="false" outlineLevel="0" collapsed="false">
      <c r="A234" s="5" t="n">
        <v>46208</v>
      </c>
      <c r="B234" s="6" t="s">
        <v>50</v>
      </c>
      <c r="C234" s="6" t="s">
        <v>5</v>
      </c>
      <c r="D234" s="6"/>
      <c r="E234" s="6"/>
      <c r="F234" s="6" t="n">
        <v>1240</v>
      </c>
      <c r="G234" s="6" t="n">
        <v>15.03</v>
      </c>
      <c r="H234" s="6" t="n">
        <v>18.11</v>
      </c>
      <c r="I234" s="6" t="n">
        <v>2183.15</v>
      </c>
      <c r="J234" s="6" t="n">
        <v>1792.39</v>
      </c>
      <c r="K234" s="6" t="n">
        <v>9</v>
      </c>
      <c r="L234" s="6" t="n">
        <v>210</v>
      </c>
      <c r="M234" s="6"/>
      <c r="N234" s="6"/>
      <c r="O234" s="6"/>
      <c r="P234" s="6" t="n">
        <v>3.08</v>
      </c>
      <c r="Q234" s="6" t="n">
        <v>1.20492348636061</v>
      </c>
      <c r="R234" s="6" t="s">
        <v>83</v>
      </c>
    </row>
    <row r="235" customFormat="false" ht="15" hidden="false" customHeight="false" outlineLevel="0" collapsed="false">
      <c r="A235" s="5" t="n">
        <v>46208</v>
      </c>
      <c r="B235" s="6" t="s">
        <v>50</v>
      </c>
      <c r="C235" s="6" t="s">
        <v>35</v>
      </c>
      <c r="D235" s="6" t="n">
        <v>1</v>
      </c>
      <c r="E235" s="6"/>
      <c r="F235" s="6" t="n">
        <v>110</v>
      </c>
      <c r="G235" s="6" t="n">
        <v>1.84</v>
      </c>
      <c r="H235" s="6" t="n">
        <v>1.5</v>
      </c>
      <c r="I235" s="6" t="n">
        <v>186.2</v>
      </c>
      <c r="J235" s="6" t="n">
        <v>139.68</v>
      </c>
      <c r="K235" s="6"/>
      <c r="L235" s="6" t="n">
        <v>0</v>
      </c>
      <c r="M235" s="6"/>
      <c r="N235" s="6"/>
      <c r="O235" s="6"/>
      <c r="P235" s="6" t="n">
        <v>-0.34</v>
      </c>
      <c r="Q235" s="6" t="n">
        <v>0.815217391304348</v>
      </c>
      <c r="R235" s="6" t="s">
        <v>83</v>
      </c>
    </row>
    <row r="236" customFormat="false" ht="15" hidden="false" customHeight="false" outlineLevel="0" collapsed="false">
      <c r="A236" s="5" t="n">
        <v>46208</v>
      </c>
      <c r="B236" s="6" t="s">
        <v>50</v>
      </c>
      <c r="C236" s="6" t="s">
        <v>35</v>
      </c>
      <c r="D236" s="6" t="n">
        <v>2</v>
      </c>
      <c r="E236" s="6"/>
      <c r="F236" s="6" t="n">
        <v>110</v>
      </c>
      <c r="G236" s="6" t="n">
        <v>1.87</v>
      </c>
      <c r="H236" s="6" t="n">
        <v>1.55</v>
      </c>
      <c r="I236" s="6" t="n">
        <v>186.35</v>
      </c>
      <c r="J236" s="6" t="n">
        <v>144.9</v>
      </c>
      <c r="K236" s="6"/>
      <c r="L236" s="6" t="n">
        <v>0</v>
      </c>
      <c r="M236" s="6"/>
      <c r="N236" s="6"/>
      <c r="O236" s="6"/>
      <c r="P236" s="6" t="n">
        <v>-0.32</v>
      </c>
      <c r="Q236" s="6" t="n">
        <v>0.828877005347594</v>
      </c>
      <c r="R236" s="6" t="s">
        <v>83</v>
      </c>
    </row>
    <row r="237" customFormat="false" ht="15" hidden="false" customHeight="false" outlineLevel="0" collapsed="false">
      <c r="A237" s="5" t="n">
        <v>46208</v>
      </c>
      <c r="B237" s="6" t="s">
        <v>50</v>
      </c>
      <c r="C237" s="6" t="s">
        <v>35</v>
      </c>
      <c r="D237" s="6" t="n">
        <v>3</v>
      </c>
      <c r="E237" s="6"/>
      <c r="F237" s="6" t="n">
        <v>210</v>
      </c>
      <c r="G237" s="6" t="n">
        <v>3.67</v>
      </c>
      <c r="H237" s="6" t="n">
        <v>3.52</v>
      </c>
      <c r="I237" s="6" t="n">
        <v>376.35</v>
      </c>
      <c r="J237" s="6" t="n">
        <v>315.97</v>
      </c>
      <c r="K237" s="6"/>
      <c r="L237" s="6" t="n">
        <v>0</v>
      </c>
      <c r="M237" s="6"/>
      <c r="N237" s="6"/>
      <c r="O237" s="6"/>
      <c r="P237" s="6" t="n">
        <v>-0.15</v>
      </c>
      <c r="Q237" s="6" t="n">
        <v>0.959128065395095</v>
      </c>
      <c r="R237" s="6" t="s">
        <v>83</v>
      </c>
    </row>
    <row r="238" customFormat="false" ht="15" hidden="false" customHeight="false" outlineLevel="0" collapsed="false">
      <c r="A238" s="5" t="n">
        <v>46208</v>
      </c>
      <c r="B238" s="6" t="s">
        <v>50</v>
      </c>
      <c r="C238" s="6" t="s">
        <v>35</v>
      </c>
      <c r="D238" s="6" t="n">
        <v>4</v>
      </c>
      <c r="E238" s="6" t="s">
        <v>76</v>
      </c>
      <c r="F238" s="6" t="n">
        <v>210</v>
      </c>
      <c r="G238" s="6" t="n">
        <v>0</v>
      </c>
      <c r="H238" s="6" t="n">
        <v>0</v>
      </c>
      <c r="I238" s="6" t="n">
        <v>294</v>
      </c>
      <c r="J238" s="6" t="n">
        <v>163.75</v>
      </c>
      <c r="K238" s="6"/>
      <c r="L238" s="6" t="n">
        <v>210</v>
      </c>
      <c r="M238" s="7" t="n">
        <v>46208</v>
      </c>
      <c r="N238" s="6"/>
      <c r="O238" s="6" t="s">
        <v>84</v>
      </c>
      <c r="P238" s="6" t="n">
        <v>0</v>
      </c>
      <c r="Q238" s="6"/>
      <c r="R238" s="6" t="s">
        <v>83</v>
      </c>
    </row>
    <row r="239" customFormat="false" ht="15" hidden="false" customHeight="false" outlineLevel="0" collapsed="false">
      <c r="A239" s="5" t="n">
        <v>46208</v>
      </c>
      <c r="B239" s="6" t="s">
        <v>50</v>
      </c>
      <c r="C239" s="6" t="s">
        <v>35</v>
      </c>
      <c r="D239" s="6" t="n">
        <v>5</v>
      </c>
      <c r="E239" s="6"/>
      <c r="F239" s="6" t="n">
        <v>210</v>
      </c>
      <c r="G239" s="6" t="n">
        <v>3.81</v>
      </c>
      <c r="H239" s="6" t="n">
        <v>3.86</v>
      </c>
      <c r="I239" s="6" t="n">
        <v>381.05</v>
      </c>
      <c r="J239" s="6" t="n">
        <v>314.29</v>
      </c>
      <c r="K239" s="6"/>
      <c r="L239" s="6" t="n">
        <v>0</v>
      </c>
      <c r="M239" s="6"/>
      <c r="N239" s="6"/>
      <c r="O239" s="6"/>
      <c r="P239" s="6" t="n">
        <v>0.0499999999999998</v>
      </c>
      <c r="Q239" s="6" t="n">
        <v>1.01312335958005</v>
      </c>
      <c r="R239" s="6" t="s">
        <v>83</v>
      </c>
    </row>
    <row r="240" customFormat="false" ht="15" hidden="false" customHeight="false" outlineLevel="0" collapsed="false">
      <c r="A240" s="5" t="n">
        <v>46208</v>
      </c>
      <c r="B240" s="6" t="s">
        <v>50</v>
      </c>
      <c r="C240" s="6" t="s">
        <v>35</v>
      </c>
      <c r="D240" s="6" t="n">
        <v>6</v>
      </c>
      <c r="E240" s="6"/>
      <c r="F240" s="6" t="n">
        <v>195</v>
      </c>
      <c r="G240" s="6" t="n">
        <v>3.84</v>
      </c>
      <c r="H240" s="6" t="n">
        <v>3.82</v>
      </c>
      <c r="I240" s="6" t="n">
        <v>390.2</v>
      </c>
      <c r="J240" s="6" t="n">
        <v>376.78</v>
      </c>
      <c r="K240" s="6"/>
      <c r="L240" s="6" t="n">
        <v>0</v>
      </c>
      <c r="M240" s="6"/>
      <c r="N240" s="6"/>
      <c r="O240" s="6"/>
      <c r="P240" s="6" t="n">
        <v>-0.02</v>
      </c>
      <c r="Q240" s="6" t="n">
        <v>0.994791666666667</v>
      </c>
      <c r="R240" s="6" t="s">
        <v>83</v>
      </c>
    </row>
    <row r="241" customFormat="false" ht="15" hidden="false" customHeight="false" outlineLevel="0" collapsed="false">
      <c r="A241" s="5" t="n">
        <v>46208</v>
      </c>
      <c r="B241" s="6" t="s">
        <v>50</v>
      </c>
      <c r="C241" s="6" t="s">
        <v>35</v>
      </c>
      <c r="D241" s="6" t="n">
        <v>7</v>
      </c>
      <c r="E241" s="6"/>
      <c r="F241" s="6" t="n">
        <v>195</v>
      </c>
      <c r="G241" s="6" t="n">
        <v>0</v>
      </c>
      <c r="H241" s="6" t="n">
        <v>3.86</v>
      </c>
      <c r="I241" s="6" t="n">
        <v>369</v>
      </c>
      <c r="J241" s="6" t="n">
        <v>337.02</v>
      </c>
      <c r="K241" s="6"/>
      <c r="L241" s="6" t="n">
        <v>0</v>
      </c>
      <c r="M241" s="6"/>
      <c r="N241" s="6"/>
      <c r="O241" s="6"/>
      <c r="P241" s="6" t="n">
        <v>3.86</v>
      </c>
      <c r="Q241" s="6"/>
      <c r="R241" s="6" t="s">
        <v>83</v>
      </c>
    </row>
    <row r="242" customFormat="false" ht="15" hidden="false" customHeight="false" outlineLevel="0" collapsed="false">
      <c r="A242" s="5" t="n">
        <v>46209</v>
      </c>
      <c r="B242" s="6" t="s">
        <v>50</v>
      </c>
      <c r="C242" s="6" t="s">
        <v>5</v>
      </c>
      <c r="D242" s="6"/>
      <c r="E242" s="6"/>
      <c r="F242" s="6" t="n">
        <v>1240</v>
      </c>
      <c r="G242" s="6" t="n">
        <v>15.03</v>
      </c>
      <c r="H242" s="6" t="n">
        <v>17.92</v>
      </c>
      <c r="I242" s="6" t="n">
        <v>2198.18</v>
      </c>
      <c r="J242" s="6" t="n">
        <v>1810.31</v>
      </c>
      <c r="K242" s="6" t="n">
        <v>9</v>
      </c>
      <c r="L242" s="6" t="n">
        <v>210</v>
      </c>
      <c r="M242" s="6"/>
      <c r="N242" s="6"/>
      <c r="O242" s="6"/>
      <c r="P242" s="6" t="n">
        <v>2.89</v>
      </c>
      <c r="Q242" s="6" t="n">
        <v>1.19228210246174</v>
      </c>
      <c r="R242" s="6" t="s">
        <v>85</v>
      </c>
    </row>
    <row r="243" customFormat="false" ht="15" hidden="false" customHeight="false" outlineLevel="0" collapsed="false">
      <c r="A243" s="5" t="n">
        <v>46209</v>
      </c>
      <c r="B243" s="6" t="s">
        <v>50</v>
      </c>
      <c r="C243" s="6" t="s">
        <v>35</v>
      </c>
      <c r="D243" s="6" t="n">
        <v>1</v>
      </c>
      <c r="E243" s="6" t="s">
        <v>79</v>
      </c>
      <c r="F243" s="6" t="n">
        <v>110</v>
      </c>
      <c r="G243" s="6" t="n">
        <v>1.84</v>
      </c>
      <c r="H243" s="6" t="n">
        <v>1.56</v>
      </c>
      <c r="I243" s="6" t="n">
        <v>188.04</v>
      </c>
      <c r="J243" s="6" t="n">
        <v>141.24</v>
      </c>
      <c r="K243" s="6"/>
      <c r="L243" s="6" t="n">
        <v>0</v>
      </c>
      <c r="M243" s="7" t="n">
        <v>46209.5569444444</v>
      </c>
      <c r="N243" s="7" t="n">
        <v>46209.6631944445</v>
      </c>
      <c r="O243" s="6" t="s">
        <v>86</v>
      </c>
      <c r="P243" s="6" t="n">
        <v>-0.28</v>
      </c>
      <c r="Q243" s="6" t="n">
        <v>0.847826086956522</v>
      </c>
      <c r="R243" s="6" t="s">
        <v>85</v>
      </c>
    </row>
    <row r="244" customFormat="false" ht="15" hidden="false" customHeight="false" outlineLevel="0" collapsed="false">
      <c r="A244" s="5" t="n">
        <v>46209</v>
      </c>
      <c r="B244" s="6" t="s">
        <v>50</v>
      </c>
      <c r="C244" s="6" t="s">
        <v>35</v>
      </c>
      <c r="D244" s="6" t="n">
        <v>2</v>
      </c>
      <c r="E244" s="6"/>
      <c r="F244" s="6" t="n">
        <v>110</v>
      </c>
      <c r="G244" s="6" t="n">
        <v>1.87</v>
      </c>
      <c r="H244" s="6" t="n">
        <v>1.61</v>
      </c>
      <c r="I244" s="6" t="n">
        <v>188.22</v>
      </c>
      <c r="J244" s="6" t="n">
        <v>146.51</v>
      </c>
      <c r="K244" s="6"/>
      <c r="L244" s="6" t="n">
        <v>0</v>
      </c>
      <c r="M244" s="6"/>
      <c r="N244" s="6"/>
      <c r="O244" s="6"/>
      <c r="P244" s="6" t="n">
        <v>-0.26</v>
      </c>
      <c r="Q244" s="6" t="n">
        <v>0.86096256684492</v>
      </c>
      <c r="R244" s="6" t="s">
        <v>85</v>
      </c>
    </row>
    <row r="245" customFormat="false" ht="15" hidden="false" customHeight="false" outlineLevel="0" collapsed="false">
      <c r="A245" s="5" t="n">
        <v>46209</v>
      </c>
      <c r="B245" s="6" t="s">
        <v>50</v>
      </c>
      <c r="C245" s="6" t="s">
        <v>35</v>
      </c>
      <c r="D245" s="6" t="n">
        <v>3</v>
      </c>
      <c r="E245" s="6"/>
      <c r="F245" s="6" t="n">
        <v>210</v>
      </c>
      <c r="G245" s="6" t="n">
        <v>3.67</v>
      </c>
      <c r="H245" s="6" t="n">
        <v>3.6</v>
      </c>
      <c r="I245" s="6" t="n">
        <v>380.02</v>
      </c>
      <c r="J245" s="6" t="n">
        <v>319.57</v>
      </c>
      <c r="K245" s="6"/>
      <c r="L245" s="6" t="n">
        <v>0</v>
      </c>
      <c r="M245" s="6"/>
      <c r="N245" s="6"/>
      <c r="O245" s="6"/>
      <c r="P245" s="6" t="n">
        <v>-0.0699999999999998</v>
      </c>
      <c r="Q245" s="6" t="n">
        <v>0.980926430517711</v>
      </c>
      <c r="R245" s="6" t="s">
        <v>85</v>
      </c>
    </row>
    <row r="246" customFormat="false" ht="15" hidden="false" customHeight="false" outlineLevel="0" collapsed="false">
      <c r="A246" s="5" t="n">
        <v>46209</v>
      </c>
      <c r="B246" s="6" t="s">
        <v>50</v>
      </c>
      <c r="C246" s="6" t="s">
        <v>35</v>
      </c>
      <c r="D246" s="6" t="n">
        <v>4</v>
      </c>
      <c r="E246" s="6" t="s">
        <v>76</v>
      </c>
      <c r="F246" s="6" t="n">
        <v>210</v>
      </c>
      <c r="G246" s="6" t="n">
        <v>0</v>
      </c>
      <c r="H246" s="6" t="n">
        <v>0</v>
      </c>
      <c r="I246" s="6" t="n">
        <v>294</v>
      </c>
      <c r="J246" s="6" t="n">
        <v>163.75</v>
      </c>
      <c r="K246" s="6"/>
      <c r="L246" s="6" t="n">
        <v>210</v>
      </c>
      <c r="M246" s="7" t="n">
        <v>46208</v>
      </c>
      <c r="N246" s="6"/>
      <c r="O246" s="6" t="s">
        <v>84</v>
      </c>
      <c r="P246" s="6" t="n">
        <v>0</v>
      </c>
      <c r="Q246" s="6"/>
      <c r="R246" s="6" t="s">
        <v>85</v>
      </c>
    </row>
    <row r="247" customFormat="false" ht="15" hidden="false" customHeight="false" outlineLevel="0" collapsed="false">
      <c r="A247" s="5" t="n">
        <v>46209</v>
      </c>
      <c r="B247" s="6" t="s">
        <v>50</v>
      </c>
      <c r="C247" s="6" t="s">
        <v>35</v>
      </c>
      <c r="D247" s="6" t="n">
        <v>5</v>
      </c>
      <c r="E247" s="6"/>
      <c r="F247" s="6" t="n">
        <v>210</v>
      </c>
      <c r="G247" s="6" t="n">
        <v>3.81</v>
      </c>
      <c r="H247" s="6" t="n">
        <v>3.88</v>
      </c>
      <c r="I247" s="6" t="n">
        <v>384.86</v>
      </c>
      <c r="J247" s="6" t="n">
        <v>318.17</v>
      </c>
      <c r="K247" s="6"/>
      <c r="L247" s="6" t="n">
        <v>0</v>
      </c>
      <c r="M247" s="6"/>
      <c r="N247" s="6"/>
      <c r="O247" s="6"/>
      <c r="P247" s="6" t="n">
        <v>0.0699999999999998</v>
      </c>
      <c r="Q247" s="6" t="n">
        <v>1.01837270341207</v>
      </c>
      <c r="R247" s="6" t="s">
        <v>85</v>
      </c>
    </row>
    <row r="248" customFormat="false" ht="15" hidden="false" customHeight="false" outlineLevel="0" collapsed="false">
      <c r="A248" s="5" t="n">
        <v>46209</v>
      </c>
      <c r="B248" s="6" t="s">
        <v>50</v>
      </c>
      <c r="C248" s="6" t="s">
        <v>35</v>
      </c>
      <c r="D248" s="6" t="n">
        <v>6</v>
      </c>
      <c r="E248" s="6"/>
      <c r="F248" s="6" t="n">
        <v>195</v>
      </c>
      <c r="G248" s="6" t="n">
        <v>3.84</v>
      </c>
      <c r="H248" s="6" t="n">
        <v>3.84</v>
      </c>
      <c r="I248" s="6" t="n">
        <v>394.04</v>
      </c>
      <c r="J248" s="6" t="n">
        <v>380.62</v>
      </c>
      <c r="K248" s="6"/>
      <c r="L248" s="6" t="n">
        <v>0</v>
      </c>
      <c r="M248" s="6"/>
      <c r="N248" s="6"/>
      <c r="O248" s="6"/>
      <c r="P248" s="6" t="n">
        <v>0</v>
      </c>
      <c r="Q248" s="6" t="n">
        <v>1</v>
      </c>
      <c r="R248" s="6" t="s">
        <v>85</v>
      </c>
    </row>
    <row r="249" customFormat="false" ht="15" hidden="false" customHeight="false" outlineLevel="0" collapsed="false">
      <c r="A249" s="5" t="n">
        <v>46209</v>
      </c>
      <c r="B249" s="6" t="s">
        <v>50</v>
      </c>
      <c r="C249" s="6" t="s">
        <v>35</v>
      </c>
      <c r="D249" s="6" t="n">
        <v>7</v>
      </c>
      <c r="E249" s="6"/>
      <c r="F249" s="6" t="n">
        <v>195</v>
      </c>
      <c r="G249" s="6" t="n">
        <v>0</v>
      </c>
      <c r="H249" s="6" t="n">
        <v>3.43</v>
      </c>
      <c r="I249" s="6" t="n">
        <v>369</v>
      </c>
      <c r="J249" s="6" t="n">
        <v>340.45</v>
      </c>
      <c r="K249" s="6"/>
      <c r="L249" s="6" t="n">
        <v>0</v>
      </c>
      <c r="M249" s="6"/>
      <c r="N249" s="6"/>
      <c r="O249" s="6"/>
      <c r="P249" s="6" t="n">
        <v>3.43</v>
      </c>
      <c r="Q249" s="6"/>
      <c r="R249" s="6" t="s">
        <v>85</v>
      </c>
    </row>
    <row r="250" customFormat="false" ht="15" hidden="false" customHeight="false" outlineLevel="0" collapsed="false">
      <c r="A250" s="5" t="n">
        <v>46210</v>
      </c>
      <c r="B250" s="6" t="s">
        <v>50</v>
      </c>
      <c r="C250" s="6" t="s">
        <v>5</v>
      </c>
      <c r="D250" s="6"/>
      <c r="E250" s="6"/>
      <c r="F250" s="6" t="n">
        <v>1240</v>
      </c>
      <c r="G250" s="6" t="n">
        <v>15.03</v>
      </c>
      <c r="H250" s="6" t="n">
        <v>18.5</v>
      </c>
      <c r="I250" s="6" t="n">
        <v>2213.21</v>
      </c>
      <c r="J250" s="6" t="n">
        <v>1828.81</v>
      </c>
      <c r="K250" s="6" t="n">
        <v>10</v>
      </c>
      <c r="L250" s="6" t="n">
        <v>210</v>
      </c>
      <c r="M250" s="6"/>
      <c r="N250" s="6"/>
      <c r="O250" s="6"/>
      <c r="P250" s="6" t="n">
        <v>3.47</v>
      </c>
      <c r="Q250" s="6" t="n">
        <v>1.23087159015303</v>
      </c>
      <c r="R250" s="6" t="s">
        <v>87</v>
      </c>
    </row>
    <row r="251" customFormat="false" ht="15" hidden="false" customHeight="false" outlineLevel="0" collapsed="false">
      <c r="A251" s="5" t="n">
        <v>46210</v>
      </c>
      <c r="B251" s="6" t="s">
        <v>50</v>
      </c>
      <c r="C251" s="6" t="s">
        <v>35</v>
      </c>
      <c r="D251" s="6" t="n">
        <v>1</v>
      </c>
      <c r="E251" s="6"/>
      <c r="F251" s="6" t="n">
        <v>110</v>
      </c>
      <c r="G251" s="6" t="n">
        <v>1.84</v>
      </c>
      <c r="H251" s="6" t="n">
        <v>1.6</v>
      </c>
      <c r="I251" s="6" t="n">
        <v>189.88</v>
      </c>
      <c r="J251" s="6" t="n">
        <v>142.84</v>
      </c>
      <c r="K251" s="6"/>
      <c r="L251" s="6" t="n">
        <v>0</v>
      </c>
      <c r="M251" s="6"/>
      <c r="N251" s="6"/>
      <c r="O251" s="6"/>
      <c r="P251" s="6" t="n">
        <v>-0.24</v>
      </c>
      <c r="Q251" s="6" t="n">
        <v>0.869565217391304</v>
      </c>
      <c r="R251" s="6" t="s">
        <v>87</v>
      </c>
    </row>
    <row r="252" customFormat="false" ht="15" hidden="false" customHeight="false" outlineLevel="0" collapsed="false">
      <c r="A252" s="5" t="n">
        <v>46210</v>
      </c>
      <c r="B252" s="6" t="s">
        <v>50</v>
      </c>
      <c r="C252" s="6" t="s">
        <v>35</v>
      </c>
      <c r="D252" s="6" t="n">
        <v>2</v>
      </c>
      <c r="E252" s="6"/>
      <c r="F252" s="6" t="n">
        <v>110</v>
      </c>
      <c r="G252" s="6" t="n">
        <v>1.87</v>
      </c>
      <c r="H252" s="6" t="n">
        <v>1.6</v>
      </c>
      <c r="I252" s="6" t="n">
        <v>190.09</v>
      </c>
      <c r="J252" s="6" t="n">
        <v>148.11</v>
      </c>
      <c r="K252" s="6"/>
      <c r="L252" s="6" t="n">
        <v>0</v>
      </c>
      <c r="M252" s="6"/>
      <c r="N252" s="6"/>
      <c r="O252" s="6"/>
      <c r="P252" s="6" t="n">
        <v>-0.27</v>
      </c>
      <c r="Q252" s="6" t="n">
        <v>0.855614973262032</v>
      </c>
      <c r="R252" s="6" t="s">
        <v>87</v>
      </c>
    </row>
    <row r="253" customFormat="false" ht="15" hidden="false" customHeight="false" outlineLevel="0" collapsed="false">
      <c r="A253" s="5" t="n">
        <v>46210</v>
      </c>
      <c r="B253" s="6" t="s">
        <v>50</v>
      </c>
      <c r="C253" s="6" t="s">
        <v>35</v>
      </c>
      <c r="D253" s="6" t="n">
        <v>3</v>
      </c>
      <c r="E253" s="6"/>
      <c r="F253" s="6" t="n">
        <v>210</v>
      </c>
      <c r="G253" s="6" t="n">
        <v>3.67</v>
      </c>
      <c r="H253" s="6" t="n">
        <v>3.61</v>
      </c>
      <c r="I253" s="6" t="n">
        <v>383.69</v>
      </c>
      <c r="J253" s="6" t="n">
        <v>323.18</v>
      </c>
      <c r="K253" s="6"/>
      <c r="L253" s="6" t="n">
        <v>0</v>
      </c>
      <c r="M253" s="6"/>
      <c r="N253" s="6"/>
      <c r="O253" s="6"/>
      <c r="P253" s="6" t="n">
        <v>-0.0600000000000001</v>
      </c>
      <c r="Q253" s="6" t="n">
        <v>0.983651226158038</v>
      </c>
      <c r="R253" s="6" t="s">
        <v>87</v>
      </c>
    </row>
    <row r="254" customFormat="false" ht="15" hidden="false" customHeight="false" outlineLevel="0" collapsed="false">
      <c r="A254" s="5" t="n">
        <v>46210</v>
      </c>
      <c r="B254" s="6" t="s">
        <v>50</v>
      </c>
      <c r="C254" s="6" t="s">
        <v>35</v>
      </c>
      <c r="D254" s="6" t="n">
        <v>4</v>
      </c>
      <c r="E254" s="6" t="s">
        <v>76</v>
      </c>
      <c r="F254" s="6" t="n">
        <v>210</v>
      </c>
      <c r="G254" s="6" t="n">
        <v>0</v>
      </c>
      <c r="H254" s="6" t="n">
        <v>0</v>
      </c>
      <c r="I254" s="6" t="n">
        <v>294</v>
      </c>
      <c r="J254" s="6" t="n">
        <v>163.75</v>
      </c>
      <c r="K254" s="6"/>
      <c r="L254" s="6" t="n">
        <v>210</v>
      </c>
      <c r="M254" s="7" t="n">
        <v>46208</v>
      </c>
      <c r="N254" s="6"/>
      <c r="O254" s="6" t="s">
        <v>84</v>
      </c>
      <c r="P254" s="6" t="n">
        <v>0</v>
      </c>
      <c r="Q254" s="6"/>
      <c r="R254" s="6" t="s">
        <v>87</v>
      </c>
    </row>
    <row r="255" customFormat="false" ht="15" hidden="false" customHeight="false" outlineLevel="0" collapsed="false">
      <c r="A255" s="5" t="n">
        <v>46210</v>
      </c>
      <c r="B255" s="6" t="s">
        <v>50</v>
      </c>
      <c r="C255" s="6" t="s">
        <v>35</v>
      </c>
      <c r="D255" s="6" t="n">
        <v>5</v>
      </c>
      <c r="E255" s="6"/>
      <c r="F255" s="6" t="n">
        <v>210</v>
      </c>
      <c r="G255" s="6" t="n">
        <v>3.81</v>
      </c>
      <c r="H255" s="6" t="n">
        <v>3.9</v>
      </c>
      <c r="I255" s="6" t="n">
        <v>388.67</v>
      </c>
      <c r="J255" s="6" t="n">
        <v>322.07</v>
      </c>
      <c r="K255" s="6"/>
      <c r="L255" s="6" t="n">
        <v>0</v>
      </c>
      <c r="M255" s="6"/>
      <c r="N255" s="6"/>
      <c r="O255" s="6"/>
      <c r="P255" s="6" t="n">
        <v>0.0899999999999999</v>
      </c>
      <c r="Q255" s="6" t="n">
        <v>1.02362204724409</v>
      </c>
      <c r="R255" s="6" t="s">
        <v>87</v>
      </c>
    </row>
    <row r="256" customFormat="false" ht="15" hidden="false" customHeight="false" outlineLevel="0" collapsed="false">
      <c r="A256" s="5" t="n">
        <v>46210</v>
      </c>
      <c r="B256" s="6" t="s">
        <v>50</v>
      </c>
      <c r="C256" s="6" t="s">
        <v>35</v>
      </c>
      <c r="D256" s="6" t="n">
        <v>6</v>
      </c>
      <c r="E256" s="6"/>
      <c r="F256" s="6" t="n">
        <v>195</v>
      </c>
      <c r="G256" s="6" t="n">
        <v>3.84</v>
      </c>
      <c r="H256" s="6" t="n">
        <v>3.84</v>
      </c>
      <c r="I256" s="6" t="n">
        <v>397.88</v>
      </c>
      <c r="J256" s="6" t="n">
        <v>384.46</v>
      </c>
      <c r="K256" s="6"/>
      <c r="L256" s="6" t="n">
        <v>0</v>
      </c>
      <c r="M256" s="6"/>
      <c r="N256" s="6"/>
      <c r="O256" s="6"/>
      <c r="P256" s="6" t="n">
        <v>0</v>
      </c>
      <c r="Q256" s="6" t="n">
        <v>1</v>
      </c>
      <c r="R256" s="6" t="s">
        <v>87</v>
      </c>
    </row>
    <row r="257" customFormat="false" ht="15" hidden="false" customHeight="false" outlineLevel="0" collapsed="false">
      <c r="A257" s="5" t="n">
        <v>46210</v>
      </c>
      <c r="B257" s="6" t="s">
        <v>50</v>
      </c>
      <c r="C257" s="6" t="s">
        <v>35</v>
      </c>
      <c r="D257" s="6" t="n">
        <v>7</v>
      </c>
      <c r="E257" s="6"/>
      <c r="F257" s="6" t="n">
        <v>195</v>
      </c>
      <c r="G257" s="6" t="n">
        <v>0</v>
      </c>
      <c r="H257" s="6" t="n">
        <v>3.95</v>
      </c>
      <c r="I257" s="6" t="n">
        <v>369</v>
      </c>
      <c r="J257" s="6" t="n">
        <v>344.4</v>
      </c>
      <c r="K257" s="6"/>
      <c r="L257" s="6" t="n">
        <v>0</v>
      </c>
      <c r="M257" s="6"/>
      <c r="N257" s="6"/>
      <c r="O257" s="6"/>
      <c r="P257" s="6" t="n">
        <v>3.95</v>
      </c>
      <c r="Q257" s="6"/>
      <c r="R257" s="6" t="s">
        <v>87</v>
      </c>
    </row>
    <row r="258" customFormat="false" ht="15" hidden="false" customHeight="false" outlineLevel="0" collapsed="false">
      <c r="A258" s="5" t="n">
        <v>46211</v>
      </c>
      <c r="B258" s="6" t="s">
        <v>50</v>
      </c>
      <c r="C258" s="6" t="s">
        <v>5</v>
      </c>
      <c r="D258" s="6"/>
      <c r="E258" s="6"/>
      <c r="F258" s="6" t="n">
        <v>1240</v>
      </c>
      <c r="G258" s="6" t="n">
        <v>15.03</v>
      </c>
      <c r="H258" s="6" t="n">
        <v>18.16</v>
      </c>
      <c r="I258" s="6" t="n">
        <v>2228.24</v>
      </c>
      <c r="J258" s="6" t="n">
        <v>1846.97</v>
      </c>
      <c r="K258" s="6" t="n">
        <v>10</v>
      </c>
      <c r="L258" s="6" t="n">
        <v>210</v>
      </c>
      <c r="M258" s="6"/>
      <c r="N258" s="6"/>
      <c r="O258" s="6"/>
      <c r="P258" s="6" t="n">
        <v>3.13</v>
      </c>
      <c r="Q258" s="6" t="n">
        <v>1.208250166334</v>
      </c>
      <c r="R258" s="6" t="s">
        <v>88</v>
      </c>
    </row>
    <row r="259" customFormat="false" ht="15" hidden="false" customHeight="false" outlineLevel="0" collapsed="false">
      <c r="A259" s="5" t="n">
        <v>46211</v>
      </c>
      <c r="B259" s="6" t="s">
        <v>50</v>
      </c>
      <c r="C259" s="6" t="s">
        <v>35</v>
      </c>
      <c r="D259" s="6" t="n">
        <v>1</v>
      </c>
      <c r="E259" s="6"/>
      <c r="F259" s="6" t="n">
        <v>110</v>
      </c>
      <c r="G259" s="6" t="n">
        <v>1.84</v>
      </c>
      <c r="H259" s="6" t="n">
        <v>1.51</v>
      </c>
      <c r="I259" s="6" t="n">
        <v>191.72</v>
      </c>
      <c r="J259" s="6" t="n">
        <v>144.35</v>
      </c>
      <c r="K259" s="6"/>
      <c r="L259" s="6" t="n">
        <v>0</v>
      </c>
      <c r="M259" s="6"/>
      <c r="N259" s="6"/>
      <c r="O259" s="6"/>
      <c r="P259" s="6" t="n">
        <v>-0.33</v>
      </c>
      <c r="Q259" s="6" t="n">
        <v>0.820652173913044</v>
      </c>
      <c r="R259" s="6" t="s">
        <v>88</v>
      </c>
    </row>
    <row r="260" customFormat="false" ht="15" hidden="false" customHeight="false" outlineLevel="0" collapsed="false">
      <c r="A260" s="5" t="n">
        <v>46211</v>
      </c>
      <c r="B260" s="6" t="s">
        <v>50</v>
      </c>
      <c r="C260" s="6" t="s">
        <v>35</v>
      </c>
      <c r="D260" s="6" t="n">
        <v>2</v>
      </c>
      <c r="E260" s="6"/>
      <c r="F260" s="6" t="n">
        <v>110</v>
      </c>
      <c r="G260" s="6" t="n">
        <v>1.87</v>
      </c>
      <c r="H260" s="6" t="n">
        <v>1.53</v>
      </c>
      <c r="I260" s="6" t="n">
        <v>191.96</v>
      </c>
      <c r="J260" s="6" t="n">
        <v>149.64</v>
      </c>
      <c r="K260" s="6"/>
      <c r="L260" s="6" t="n">
        <v>0</v>
      </c>
      <c r="M260" s="6"/>
      <c r="N260" s="6"/>
      <c r="O260" s="6"/>
      <c r="P260" s="6" t="n">
        <v>-0.34</v>
      </c>
      <c r="Q260" s="6" t="n">
        <v>0.818181818181818</v>
      </c>
      <c r="R260" s="6" t="s">
        <v>88</v>
      </c>
    </row>
    <row r="261" customFormat="false" ht="15" hidden="false" customHeight="false" outlineLevel="0" collapsed="false">
      <c r="A261" s="5" t="n">
        <v>46211</v>
      </c>
      <c r="B261" s="6" t="s">
        <v>50</v>
      </c>
      <c r="C261" s="6" t="s">
        <v>35</v>
      </c>
      <c r="D261" s="6" t="n">
        <v>3</v>
      </c>
      <c r="E261" s="6"/>
      <c r="F261" s="6" t="n">
        <v>210</v>
      </c>
      <c r="G261" s="6" t="n">
        <v>3.67</v>
      </c>
      <c r="H261" s="6" t="n">
        <v>3.53</v>
      </c>
      <c r="I261" s="6" t="n">
        <v>387.36</v>
      </c>
      <c r="J261" s="6" t="n">
        <v>326.71</v>
      </c>
      <c r="K261" s="6"/>
      <c r="L261" s="6" t="n">
        <v>0</v>
      </c>
      <c r="M261" s="6"/>
      <c r="N261" s="6"/>
      <c r="O261" s="6"/>
      <c r="P261" s="6" t="n">
        <v>-0.14</v>
      </c>
      <c r="Q261" s="6" t="n">
        <v>0.961852861035422</v>
      </c>
      <c r="R261" s="6" t="s">
        <v>88</v>
      </c>
    </row>
    <row r="262" customFormat="false" ht="15" hidden="false" customHeight="false" outlineLevel="0" collapsed="false">
      <c r="A262" s="5" t="n">
        <v>46211</v>
      </c>
      <c r="B262" s="6" t="s">
        <v>50</v>
      </c>
      <c r="C262" s="6" t="s">
        <v>35</v>
      </c>
      <c r="D262" s="6" t="n">
        <v>4</v>
      </c>
      <c r="E262" s="6" t="s">
        <v>76</v>
      </c>
      <c r="F262" s="6" t="n">
        <v>210</v>
      </c>
      <c r="G262" s="6" t="n">
        <v>0</v>
      </c>
      <c r="H262" s="6" t="n">
        <v>0</v>
      </c>
      <c r="I262" s="6" t="n">
        <v>294</v>
      </c>
      <c r="J262" s="6" t="n">
        <v>163.75</v>
      </c>
      <c r="K262" s="6"/>
      <c r="L262" s="6" t="n">
        <v>210</v>
      </c>
      <c r="M262" s="7" t="n">
        <v>46208</v>
      </c>
      <c r="N262" s="6"/>
      <c r="O262" s="6" t="s">
        <v>84</v>
      </c>
      <c r="P262" s="6" t="n">
        <v>0</v>
      </c>
      <c r="Q262" s="6"/>
      <c r="R262" s="6" t="s">
        <v>88</v>
      </c>
    </row>
    <row r="263" customFormat="false" ht="15" hidden="false" customHeight="false" outlineLevel="0" collapsed="false">
      <c r="A263" s="5" t="n">
        <v>46211</v>
      </c>
      <c r="B263" s="6" t="s">
        <v>50</v>
      </c>
      <c r="C263" s="6" t="s">
        <v>35</v>
      </c>
      <c r="D263" s="6" t="n">
        <v>5</v>
      </c>
      <c r="E263" s="6"/>
      <c r="F263" s="6" t="n">
        <v>210</v>
      </c>
      <c r="G263" s="6" t="n">
        <v>3.81</v>
      </c>
      <c r="H263" s="6" t="n">
        <v>3.86</v>
      </c>
      <c r="I263" s="6" t="n">
        <v>392.48</v>
      </c>
      <c r="J263" s="6" t="n">
        <v>325.93</v>
      </c>
      <c r="K263" s="6"/>
      <c r="L263" s="6" t="n">
        <v>0</v>
      </c>
      <c r="M263" s="6"/>
      <c r="N263" s="6"/>
      <c r="O263" s="6"/>
      <c r="P263" s="6" t="n">
        <v>0.0499999999999998</v>
      </c>
      <c r="Q263" s="6" t="n">
        <v>1.01312335958005</v>
      </c>
      <c r="R263" s="6" t="s">
        <v>88</v>
      </c>
    </row>
    <row r="264" customFormat="false" ht="15" hidden="false" customHeight="false" outlineLevel="0" collapsed="false">
      <c r="A264" s="5" t="n">
        <v>46211</v>
      </c>
      <c r="B264" s="6" t="s">
        <v>50</v>
      </c>
      <c r="C264" s="6" t="s">
        <v>35</v>
      </c>
      <c r="D264" s="6" t="n">
        <v>6</v>
      </c>
      <c r="E264" s="6"/>
      <c r="F264" s="6" t="n">
        <v>195</v>
      </c>
      <c r="G264" s="6" t="n">
        <v>3.84</v>
      </c>
      <c r="H264" s="6" t="n">
        <v>3.84</v>
      </c>
      <c r="I264" s="6" t="n">
        <v>401.72</v>
      </c>
      <c r="J264" s="6" t="n">
        <v>388.3</v>
      </c>
      <c r="K264" s="6"/>
      <c r="L264" s="6" t="n">
        <v>0</v>
      </c>
      <c r="M264" s="6"/>
      <c r="N264" s="6"/>
      <c r="O264" s="6"/>
      <c r="P264" s="6" t="n">
        <v>0</v>
      </c>
      <c r="Q264" s="6" t="n">
        <v>1</v>
      </c>
      <c r="R264" s="6" t="s">
        <v>88</v>
      </c>
    </row>
    <row r="265" customFormat="false" ht="15" hidden="false" customHeight="false" outlineLevel="0" collapsed="false">
      <c r="A265" s="5" t="n">
        <v>46211</v>
      </c>
      <c r="B265" s="6" t="s">
        <v>50</v>
      </c>
      <c r="C265" s="6" t="s">
        <v>35</v>
      </c>
      <c r="D265" s="6" t="n">
        <v>7</v>
      </c>
      <c r="E265" s="6"/>
      <c r="F265" s="6" t="n">
        <v>195</v>
      </c>
      <c r="G265" s="6" t="n">
        <v>0</v>
      </c>
      <c r="H265" s="6" t="n">
        <v>3.89</v>
      </c>
      <c r="I265" s="6" t="n">
        <v>369</v>
      </c>
      <c r="J265" s="6" t="n">
        <v>348.29</v>
      </c>
      <c r="K265" s="6"/>
      <c r="L265" s="6" t="n">
        <v>0</v>
      </c>
      <c r="M265" s="6"/>
      <c r="N265" s="6"/>
      <c r="O265" s="6"/>
      <c r="P265" s="6" t="n">
        <v>3.89</v>
      </c>
      <c r="Q265" s="6"/>
      <c r="R265" s="6" t="s">
        <v>88</v>
      </c>
    </row>
    <row r="266" customFormat="false" ht="15" hidden="false" customHeight="false" outlineLevel="0" collapsed="false">
      <c r="A266" s="5" t="n">
        <v>46212</v>
      </c>
      <c r="B266" s="6" t="s">
        <v>50</v>
      </c>
      <c r="C266" s="6" t="s">
        <v>5</v>
      </c>
      <c r="D266" s="6"/>
      <c r="E266" s="6"/>
      <c r="F266" s="6" t="n">
        <v>1240</v>
      </c>
      <c r="G266" s="6" t="n">
        <v>15.03</v>
      </c>
      <c r="H266" s="6" t="n">
        <v>14.29</v>
      </c>
      <c r="I266" s="6" t="n">
        <v>2243.27</v>
      </c>
      <c r="J266" s="6" t="n">
        <v>1861.26</v>
      </c>
      <c r="K266" s="6" t="n">
        <v>10</v>
      </c>
      <c r="L266" s="6" t="n">
        <v>530</v>
      </c>
      <c r="M266" s="6"/>
      <c r="N266" s="6"/>
      <c r="O266" s="6"/>
      <c r="P266" s="6" t="n">
        <v>-0.74</v>
      </c>
      <c r="Q266" s="6" t="n">
        <v>0.950765136393879</v>
      </c>
      <c r="R266" s="6" t="s">
        <v>89</v>
      </c>
    </row>
    <row r="267" customFormat="false" ht="15" hidden="false" customHeight="false" outlineLevel="0" collapsed="false">
      <c r="A267" s="5" t="n">
        <v>46212</v>
      </c>
      <c r="B267" s="6" t="s">
        <v>50</v>
      </c>
      <c r="C267" s="6" t="s">
        <v>35</v>
      </c>
      <c r="D267" s="6" t="n">
        <v>1</v>
      </c>
      <c r="E267" s="6" t="s">
        <v>76</v>
      </c>
      <c r="F267" s="6" t="n">
        <v>110</v>
      </c>
      <c r="G267" s="6" t="n">
        <v>1.84</v>
      </c>
      <c r="H267" s="6" t="n">
        <v>0</v>
      </c>
      <c r="I267" s="6" t="n">
        <v>193.56</v>
      </c>
      <c r="J267" s="6" t="n">
        <v>144.35</v>
      </c>
      <c r="K267" s="6"/>
      <c r="L267" s="6" t="n">
        <v>110</v>
      </c>
      <c r="M267" s="7" t="n">
        <v>46212.0006944445</v>
      </c>
      <c r="N267" s="6"/>
      <c r="O267" s="6" t="s">
        <v>90</v>
      </c>
      <c r="P267" s="6" t="n">
        <v>-1.84</v>
      </c>
      <c r="Q267" s="6" t="n">
        <v>0</v>
      </c>
      <c r="R267" s="6" t="s">
        <v>89</v>
      </c>
    </row>
    <row r="268" customFormat="false" ht="15" hidden="false" customHeight="false" outlineLevel="0" collapsed="false">
      <c r="A268" s="5" t="n">
        <v>46212</v>
      </c>
      <c r="B268" s="6" t="s">
        <v>50</v>
      </c>
      <c r="C268" s="6" t="s">
        <v>35</v>
      </c>
      <c r="D268" s="6" t="n">
        <v>2</v>
      </c>
      <c r="E268" s="6"/>
      <c r="F268" s="6" t="n">
        <v>110</v>
      </c>
      <c r="G268" s="6" t="n">
        <v>1.87</v>
      </c>
      <c r="H268" s="6" t="n">
        <v>1.49</v>
      </c>
      <c r="I268" s="6" t="n">
        <v>193.83</v>
      </c>
      <c r="J268" s="6" t="n">
        <v>151.13</v>
      </c>
      <c r="K268" s="6"/>
      <c r="L268" s="6" t="n">
        <v>0</v>
      </c>
      <c r="M268" s="6"/>
      <c r="N268" s="6"/>
      <c r="O268" s="6"/>
      <c r="P268" s="6" t="n">
        <v>-0.38</v>
      </c>
      <c r="Q268" s="6" t="n">
        <v>0.796791443850267</v>
      </c>
      <c r="R268" s="6" t="s">
        <v>89</v>
      </c>
    </row>
    <row r="269" customFormat="false" ht="15" hidden="false" customHeight="false" outlineLevel="0" collapsed="false">
      <c r="A269" s="5" t="n">
        <v>46212</v>
      </c>
      <c r="B269" s="6" t="s">
        <v>50</v>
      </c>
      <c r="C269" s="6" t="s">
        <v>35</v>
      </c>
      <c r="D269" s="6" t="n">
        <v>3</v>
      </c>
      <c r="E269" s="6" t="s">
        <v>76</v>
      </c>
      <c r="F269" s="6" t="n">
        <v>210</v>
      </c>
      <c r="G269" s="6" t="n">
        <v>3.67</v>
      </c>
      <c r="H269" s="6" t="n">
        <v>1.2</v>
      </c>
      <c r="I269" s="6" t="n">
        <v>391.03</v>
      </c>
      <c r="J269" s="6" t="n">
        <v>327.91</v>
      </c>
      <c r="K269" s="6"/>
      <c r="L269" s="6" t="n">
        <v>210</v>
      </c>
      <c r="M269" s="7" t="n">
        <v>46212.36875</v>
      </c>
      <c r="N269" s="6"/>
      <c r="O269" s="6" t="s">
        <v>90</v>
      </c>
      <c r="P269" s="6" t="n">
        <v>-2.47</v>
      </c>
      <c r="Q269" s="6" t="n">
        <v>0.326975476839237</v>
      </c>
      <c r="R269" s="6" t="s">
        <v>89</v>
      </c>
    </row>
    <row r="270" customFormat="false" ht="15" hidden="false" customHeight="false" outlineLevel="0" collapsed="false">
      <c r="A270" s="5" t="n">
        <v>46212</v>
      </c>
      <c r="B270" s="6" t="s">
        <v>50</v>
      </c>
      <c r="C270" s="6" t="s">
        <v>35</v>
      </c>
      <c r="D270" s="6" t="n">
        <v>4</v>
      </c>
      <c r="E270" s="6" t="s">
        <v>76</v>
      </c>
      <c r="F270" s="6" t="n">
        <v>210</v>
      </c>
      <c r="G270" s="6" t="n">
        <v>0</v>
      </c>
      <c r="H270" s="6" t="n">
        <v>0</v>
      </c>
      <c r="I270" s="6" t="n">
        <v>294</v>
      </c>
      <c r="J270" s="6" t="n">
        <v>163.75</v>
      </c>
      <c r="K270" s="6"/>
      <c r="L270" s="6" t="n">
        <v>210</v>
      </c>
      <c r="M270" s="7" t="n">
        <v>46208</v>
      </c>
      <c r="N270" s="6"/>
      <c r="O270" s="6" t="s">
        <v>84</v>
      </c>
      <c r="P270" s="6" t="n">
        <v>0</v>
      </c>
      <c r="Q270" s="6"/>
      <c r="R270" s="6" t="s">
        <v>89</v>
      </c>
    </row>
    <row r="271" customFormat="false" ht="15" hidden="false" customHeight="false" outlineLevel="0" collapsed="false">
      <c r="A271" s="5" t="n">
        <v>46212</v>
      </c>
      <c r="B271" s="6" t="s">
        <v>50</v>
      </c>
      <c r="C271" s="6" t="s">
        <v>35</v>
      </c>
      <c r="D271" s="6" t="n">
        <v>5</v>
      </c>
      <c r="E271" s="6"/>
      <c r="F271" s="6" t="n">
        <v>210</v>
      </c>
      <c r="G271" s="6" t="n">
        <v>3.81</v>
      </c>
      <c r="H271" s="6" t="n">
        <v>3.89</v>
      </c>
      <c r="I271" s="6" t="n">
        <v>396.29</v>
      </c>
      <c r="J271" s="6" t="n">
        <v>329.82</v>
      </c>
      <c r="K271" s="6"/>
      <c r="L271" s="6" t="n">
        <v>0</v>
      </c>
      <c r="M271" s="6"/>
      <c r="N271" s="6"/>
      <c r="O271" s="6"/>
      <c r="P271" s="6" t="n">
        <v>0.0800000000000001</v>
      </c>
      <c r="Q271" s="6" t="n">
        <v>1.02099737532808</v>
      </c>
      <c r="R271" s="6" t="s">
        <v>89</v>
      </c>
    </row>
    <row r="272" customFormat="false" ht="15" hidden="false" customHeight="false" outlineLevel="0" collapsed="false">
      <c r="A272" s="5" t="n">
        <v>46212</v>
      </c>
      <c r="B272" s="6" t="s">
        <v>50</v>
      </c>
      <c r="C272" s="6" t="s">
        <v>35</v>
      </c>
      <c r="D272" s="6" t="n">
        <v>6</v>
      </c>
      <c r="E272" s="6"/>
      <c r="F272" s="6" t="n">
        <v>195</v>
      </c>
      <c r="G272" s="6" t="n">
        <v>3.84</v>
      </c>
      <c r="H272" s="6" t="n">
        <v>3.83</v>
      </c>
      <c r="I272" s="6" t="n">
        <v>405.56</v>
      </c>
      <c r="J272" s="6" t="n">
        <v>392.13</v>
      </c>
      <c r="K272" s="6"/>
      <c r="L272" s="6" t="n">
        <v>0</v>
      </c>
      <c r="M272" s="6"/>
      <c r="N272" s="6"/>
      <c r="O272" s="6"/>
      <c r="P272" s="6" t="n">
        <v>-0.00999999999999979</v>
      </c>
      <c r="Q272" s="6" t="n">
        <v>0.997395833333333</v>
      </c>
      <c r="R272" s="6" t="s">
        <v>89</v>
      </c>
    </row>
    <row r="273" customFormat="false" ht="15" hidden="false" customHeight="false" outlineLevel="0" collapsed="false">
      <c r="A273" s="5" t="n">
        <v>46212</v>
      </c>
      <c r="B273" s="6" t="s">
        <v>50</v>
      </c>
      <c r="C273" s="6" t="s">
        <v>35</v>
      </c>
      <c r="D273" s="6" t="n">
        <v>7</v>
      </c>
      <c r="E273" s="6"/>
      <c r="F273" s="6" t="n">
        <v>195</v>
      </c>
      <c r="G273" s="6" t="n">
        <v>0</v>
      </c>
      <c r="H273" s="6" t="n">
        <v>3.88</v>
      </c>
      <c r="I273" s="6" t="n">
        <v>369</v>
      </c>
      <c r="J273" s="6" t="n">
        <v>352.17</v>
      </c>
      <c r="K273" s="6"/>
      <c r="L273" s="6" t="n">
        <v>0</v>
      </c>
      <c r="M273" s="6"/>
      <c r="N273" s="6"/>
      <c r="O273" s="6"/>
      <c r="P273" s="6" t="n">
        <v>3.88</v>
      </c>
      <c r="Q273" s="6"/>
      <c r="R273" s="6" t="s">
        <v>89</v>
      </c>
    </row>
    <row r="274" customFormat="false" ht="15" hidden="false" customHeight="false" outlineLevel="0" collapsed="false">
      <c r="A274" s="5" t="n">
        <v>46213</v>
      </c>
      <c r="B274" s="6" t="s">
        <v>50</v>
      </c>
      <c r="C274" s="6" t="s">
        <v>5</v>
      </c>
      <c r="D274" s="6"/>
      <c r="E274" s="6"/>
      <c r="F274" s="6" t="n">
        <v>1240</v>
      </c>
      <c r="G274" s="6" t="n">
        <v>15.03</v>
      </c>
      <c r="H274" s="6" t="n">
        <v>12.9</v>
      </c>
      <c r="I274" s="6" t="n">
        <v>2258.3</v>
      </c>
      <c r="J274" s="6" t="n">
        <v>1874.16</v>
      </c>
      <c r="K274" s="6" t="n">
        <v>11</v>
      </c>
      <c r="L274" s="6" t="n">
        <v>530</v>
      </c>
      <c r="M274" s="6"/>
      <c r="N274" s="6"/>
      <c r="O274" s="6"/>
      <c r="P274" s="6" t="n">
        <v>-2.13</v>
      </c>
      <c r="Q274" s="6" t="n">
        <v>0.858283433133733</v>
      </c>
      <c r="R274" s="6" t="s">
        <v>91</v>
      </c>
    </row>
    <row r="275" customFormat="false" ht="15" hidden="false" customHeight="false" outlineLevel="0" collapsed="false">
      <c r="A275" s="5" t="n">
        <v>46213</v>
      </c>
      <c r="B275" s="6" t="s">
        <v>50</v>
      </c>
      <c r="C275" s="6" t="s">
        <v>35</v>
      </c>
      <c r="D275" s="6" t="n">
        <v>1</v>
      </c>
      <c r="E275" s="6" t="s">
        <v>76</v>
      </c>
      <c r="F275" s="6" t="n">
        <v>110</v>
      </c>
      <c r="G275" s="6" t="n">
        <v>1.84</v>
      </c>
      <c r="H275" s="6" t="n">
        <v>0</v>
      </c>
      <c r="I275" s="6" t="n">
        <v>195.4</v>
      </c>
      <c r="J275" s="6" t="n">
        <v>144.35</v>
      </c>
      <c r="K275" s="6"/>
      <c r="L275" s="6" t="n">
        <v>110</v>
      </c>
      <c r="M275" s="7" t="n">
        <v>46212.0006944445</v>
      </c>
      <c r="N275" s="6"/>
      <c r="O275" s="6" t="s">
        <v>90</v>
      </c>
      <c r="P275" s="6" t="n">
        <v>-1.84</v>
      </c>
      <c r="Q275" s="6" t="n">
        <v>0</v>
      </c>
      <c r="R275" s="6" t="s">
        <v>91</v>
      </c>
    </row>
    <row r="276" customFormat="false" ht="15" hidden="false" customHeight="false" outlineLevel="0" collapsed="false">
      <c r="A276" s="5" t="n">
        <v>46213</v>
      </c>
      <c r="B276" s="6" t="s">
        <v>50</v>
      </c>
      <c r="C276" s="6" t="s">
        <v>35</v>
      </c>
      <c r="D276" s="6" t="n">
        <v>2</v>
      </c>
      <c r="E276" s="6"/>
      <c r="F276" s="6" t="n">
        <v>110</v>
      </c>
      <c r="G276" s="6" t="n">
        <v>1.87</v>
      </c>
      <c r="H276" s="6" t="n">
        <v>1.46</v>
      </c>
      <c r="I276" s="6" t="n">
        <v>195.7</v>
      </c>
      <c r="J276" s="6" t="n">
        <v>152.59</v>
      </c>
      <c r="K276" s="6"/>
      <c r="L276" s="6" t="n">
        <v>0</v>
      </c>
      <c r="M276" s="6"/>
      <c r="N276" s="6"/>
      <c r="O276" s="6"/>
      <c r="P276" s="6" t="n">
        <v>-0.41</v>
      </c>
      <c r="Q276" s="6" t="n">
        <v>0.780748663101604</v>
      </c>
      <c r="R276" s="6" t="s">
        <v>91</v>
      </c>
    </row>
    <row r="277" customFormat="false" ht="15" hidden="false" customHeight="false" outlineLevel="0" collapsed="false">
      <c r="A277" s="5" t="n">
        <v>46213</v>
      </c>
      <c r="B277" s="6" t="s">
        <v>50</v>
      </c>
      <c r="C277" s="6" t="s">
        <v>35</v>
      </c>
      <c r="D277" s="6" t="n">
        <v>3</v>
      </c>
      <c r="E277" s="6" t="s">
        <v>79</v>
      </c>
      <c r="F277" s="6" t="n">
        <v>210</v>
      </c>
      <c r="G277" s="6" t="n">
        <v>3.67</v>
      </c>
      <c r="H277" s="6" t="n">
        <v>0.08</v>
      </c>
      <c r="I277" s="6" t="n">
        <v>394.7</v>
      </c>
      <c r="J277" s="6" t="n">
        <v>327.99</v>
      </c>
      <c r="K277" s="6"/>
      <c r="L277" s="6" t="n">
        <v>210</v>
      </c>
      <c r="M277" s="7" t="n">
        <v>46212.36875</v>
      </c>
      <c r="N277" s="7" t="n">
        <v>46213.7534722222</v>
      </c>
      <c r="O277" s="6" t="s">
        <v>90</v>
      </c>
      <c r="P277" s="6" t="n">
        <v>-3.59</v>
      </c>
      <c r="Q277" s="6" t="n">
        <v>0.0217983651226158</v>
      </c>
      <c r="R277" s="6" t="s">
        <v>91</v>
      </c>
    </row>
    <row r="278" customFormat="false" ht="15" hidden="false" customHeight="false" outlineLevel="0" collapsed="false">
      <c r="A278" s="5" t="n">
        <v>46213</v>
      </c>
      <c r="B278" s="6" t="s">
        <v>50</v>
      </c>
      <c r="C278" s="6" t="s">
        <v>35</v>
      </c>
      <c r="D278" s="6" t="n">
        <v>4</v>
      </c>
      <c r="E278" s="6" t="s">
        <v>76</v>
      </c>
      <c r="F278" s="6" t="n">
        <v>210</v>
      </c>
      <c r="G278" s="6" t="n">
        <v>0</v>
      </c>
      <c r="H278" s="6" t="n">
        <v>0</v>
      </c>
      <c r="I278" s="6" t="n">
        <v>294</v>
      </c>
      <c r="J278" s="6" t="n">
        <v>163.75</v>
      </c>
      <c r="K278" s="6"/>
      <c r="L278" s="6" t="n">
        <v>210</v>
      </c>
      <c r="M278" s="7" t="n">
        <v>46208</v>
      </c>
      <c r="N278" s="6"/>
      <c r="O278" s="6" t="s">
        <v>84</v>
      </c>
      <c r="P278" s="6" t="n">
        <v>0</v>
      </c>
      <c r="Q278" s="6"/>
      <c r="R278" s="6" t="s">
        <v>91</v>
      </c>
    </row>
    <row r="279" customFormat="false" ht="15" hidden="false" customHeight="false" outlineLevel="0" collapsed="false">
      <c r="A279" s="5" t="n">
        <v>46213</v>
      </c>
      <c r="B279" s="6" t="s">
        <v>50</v>
      </c>
      <c r="C279" s="6" t="s">
        <v>35</v>
      </c>
      <c r="D279" s="6" t="n">
        <v>5</v>
      </c>
      <c r="E279" s="6"/>
      <c r="F279" s="6" t="n">
        <v>210</v>
      </c>
      <c r="G279" s="6" t="n">
        <v>3.81</v>
      </c>
      <c r="H279" s="6" t="n">
        <v>3.73</v>
      </c>
      <c r="I279" s="6" t="n">
        <v>400.1</v>
      </c>
      <c r="J279" s="6" t="n">
        <v>333.55</v>
      </c>
      <c r="K279" s="6"/>
      <c r="L279" s="6" t="n">
        <v>0</v>
      </c>
      <c r="M279" s="6"/>
      <c r="N279" s="6"/>
      <c r="O279" s="6"/>
      <c r="P279" s="6" t="n">
        <v>-0.0800000000000001</v>
      </c>
      <c r="Q279" s="6" t="n">
        <v>0.979002624671916</v>
      </c>
      <c r="R279" s="6" t="s">
        <v>91</v>
      </c>
    </row>
    <row r="280" customFormat="false" ht="15" hidden="false" customHeight="false" outlineLevel="0" collapsed="false">
      <c r="A280" s="5" t="n">
        <v>46213</v>
      </c>
      <c r="B280" s="6" t="s">
        <v>50</v>
      </c>
      <c r="C280" s="6" t="s">
        <v>35</v>
      </c>
      <c r="D280" s="6" t="n">
        <v>6</v>
      </c>
      <c r="E280" s="6"/>
      <c r="F280" s="6" t="n">
        <v>195</v>
      </c>
      <c r="G280" s="6" t="n">
        <v>3.84</v>
      </c>
      <c r="H280" s="6" t="n">
        <v>3.85</v>
      </c>
      <c r="I280" s="6" t="n">
        <v>409.4</v>
      </c>
      <c r="J280" s="6" t="n">
        <v>395.98</v>
      </c>
      <c r="K280" s="6"/>
      <c r="L280" s="6" t="n">
        <v>0</v>
      </c>
      <c r="M280" s="6"/>
      <c r="N280" s="6"/>
      <c r="O280" s="6"/>
      <c r="P280" s="6" t="n">
        <v>0.0100000000000002</v>
      </c>
      <c r="Q280" s="6" t="n">
        <v>1.00260416666667</v>
      </c>
      <c r="R280" s="6" t="s">
        <v>91</v>
      </c>
    </row>
    <row r="281" customFormat="false" ht="15" hidden="false" customHeight="false" outlineLevel="0" collapsed="false">
      <c r="A281" s="5" t="n">
        <v>46213</v>
      </c>
      <c r="B281" s="6" t="s">
        <v>50</v>
      </c>
      <c r="C281" s="6" t="s">
        <v>35</v>
      </c>
      <c r="D281" s="6" t="n">
        <v>7</v>
      </c>
      <c r="E281" s="6"/>
      <c r="F281" s="6" t="n">
        <v>195</v>
      </c>
      <c r="G281" s="6" t="n">
        <v>0</v>
      </c>
      <c r="H281" s="6" t="n">
        <v>3.78</v>
      </c>
      <c r="I281" s="6" t="n">
        <v>369</v>
      </c>
      <c r="J281" s="6" t="n">
        <v>355.95</v>
      </c>
      <c r="K281" s="6"/>
      <c r="L281" s="6" t="n">
        <v>0</v>
      </c>
      <c r="M281" s="6"/>
      <c r="N281" s="6"/>
      <c r="O281" s="6"/>
      <c r="P281" s="6" t="n">
        <v>3.78</v>
      </c>
      <c r="Q281" s="6"/>
      <c r="R281" s="6" t="s">
        <v>91</v>
      </c>
    </row>
    <row r="282" customFormat="false" ht="15" hidden="false" customHeight="false" outlineLevel="0" collapsed="false">
      <c r="A282" s="5" t="n">
        <v>46214</v>
      </c>
      <c r="B282" s="6" t="s">
        <v>50</v>
      </c>
      <c r="C282" s="6" t="s">
        <v>5</v>
      </c>
      <c r="D282" s="6"/>
      <c r="E282" s="6"/>
      <c r="F282" s="6" t="n">
        <v>1240</v>
      </c>
      <c r="G282" s="6" t="n">
        <v>15.03</v>
      </c>
      <c r="H282" s="6" t="n">
        <v>16.43</v>
      </c>
      <c r="I282" s="6" t="n">
        <v>2273.33</v>
      </c>
      <c r="J282" s="6" t="n">
        <v>1890.59</v>
      </c>
      <c r="K282" s="6" t="n">
        <v>12</v>
      </c>
      <c r="L282" s="6" t="n">
        <v>320</v>
      </c>
      <c r="M282" s="6"/>
      <c r="N282" s="6"/>
      <c r="O282" s="6"/>
      <c r="P282" s="6" t="n">
        <v>1.4</v>
      </c>
      <c r="Q282" s="6" t="n">
        <v>1.09314703925482</v>
      </c>
      <c r="R282" s="6" t="s">
        <v>92</v>
      </c>
    </row>
    <row r="283" customFormat="false" ht="15" hidden="false" customHeight="false" outlineLevel="0" collapsed="false">
      <c r="A283" s="5" t="n">
        <v>46214</v>
      </c>
      <c r="B283" s="6" t="s">
        <v>50</v>
      </c>
      <c r="C283" s="6" t="s">
        <v>35</v>
      </c>
      <c r="D283" s="6" t="n">
        <v>1</v>
      </c>
      <c r="E283" s="6" t="s">
        <v>76</v>
      </c>
      <c r="F283" s="6" t="n">
        <v>110</v>
      </c>
      <c r="G283" s="6" t="n">
        <v>1.84</v>
      </c>
      <c r="H283" s="6" t="n">
        <v>0</v>
      </c>
      <c r="I283" s="6" t="n">
        <v>197.24</v>
      </c>
      <c r="J283" s="6" t="n">
        <v>144.35</v>
      </c>
      <c r="K283" s="6"/>
      <c r="L283" s="6" t="n">
        <v>110</v>
      </c>
      <c r="M283" s="7" t="n">
        <v>46212.0006944445</v>
      </c>
      <c r="N283" s="6"/>
      <c r="O283" s="6" t="s">
        <v>90</v>
      </c>
      <c r="P283" s="6" t="n">
        <v>-1.84</v>
      </c>
      <c r="Q283" s="6" t="n">
        <v>0</v>
      </c>
      <c r="R283" s="6" t="s">
        <v>92</v>
      </c>
    </row>
    <row r="284" customFormat="false" ht="15" hidden="false" customHeight="false" outlineLevel="0" collapsed="false">
      <c r="A284" s="5" t="n">
        <v>46214</v>
      </c>
      <c r="B284" s="6" t="s">
        <v>50</v>
      </c>
      <c r="C284" s="6" t="s">
        <v>35</v>
      </c>
      <c r="D284" s="6" t="n">
        <v>2</v>
      </c>
      <c r="E284" s="6"/>
      <c r="F284" s="6" t="n">
        <v>110</v>
      </c>
      <c r="G284" s="6" t="n">
        <v>1.87</v>
      </c>
      <c r="H284" s="6" t="n">
        <v>1.52</v>
      </c>
      <c r="I284" s="6" t="n">
        <v>197.57</v>
      </c>
      <c r="J284" s="6" t="n">
        <v>154.11</v>
      </c>
      <c r="K284" s="6"/>
      <c r="L284" s="6" t="n">
        <v>0</v>
      </c>
      <c r="M284" s="6"/>
      <c r="N284" s="6"/>
      <c r="O284" s="6"/>
      <c r="P284" s="6" t="n">
        <v>-0.35</v>
      </c>
      <c r="Q284" s="6" t="n">
        <v>0.81283422459893</v>
      </c>
      <c r="R284" s="6" t="s">
        <v>92</v>
      </c>
    </row>
    <row r="285" customFormat="false" ht="15" hidden="false" customHeight="false" outlineLevel="0" collapsed="false">
      <c r="A285" s="5" t="n">
        <v>46214</v>
      </c>
      <c r="B285" s="6" t="s">
        <v>50</v>
      </c>
      <c r="C285" s="6" t="s">
        <v>35</v>
      </c>
      <c r="D285" s="6" t="n">
        <v>3</v>
      </c>
      <c r="E285" s="6"/>
      <c r="F285" s="6" t="n">
        <v>210</v>
      </c>
      <c r="G285" s="6" t="n">
        <v>3.67</v>
      </c>
      <c r="H285" s="6" t="n">
        <v>3.39</v>
      </c>
      <c r="I285" s="6" t="n">
        <v>398.37</v>
      </c>
      <c r="J285" s="6" t="n">
        <v>331.38</v>
      </c>
      <c r="K285" s="6"/>
      <c r="L285" s="6" t="n">
        <v>0</v>
      </c>
      <c r="M285" s="6"/>
      <c r="N285" s="6"/>
      <c r="O285" s="6"/>
      <c r="P285" s="6" t="n">
        <v>-0.28</v>
      </c>
      <c r="Q285" s="6" t="n">
        <v>0.923705722070845</v>
      </c>
      <c r="R285" s="6" t="s">
        <v>92</v>
      </c>
    </row>
    <row r="286" customFormat="false" ht="15" hidden="false" customHeight="false" outlineLevel="0" collapsed="false">
      <c r="A286" s="5" t="n">
        <v>46214</v>
      </c>
      <c r="B286" s="6" t="s">
        <v>50</v>
      </c>
      <c r="C286" s="6" t="s">
        <v>35</v>
      </c>
      <c r="D286" s="6" t="n">
        <v>4</v>
      </c>
      <c r="E286" s="6" t="s">
        <v>76</v>
      </c>
      <c r="F286" s="6" t="n">
        <v>210</v>
      </c>
      <c r="G286" s="6" t="n">
        <v>0</v>
      </c>
      <c r="H286" s="6" t="n">
        <v>0</v>
      </c>
      <c r="I286" s="6" t="n">
        <v>294</v>
      </c>
      <c r="J286" s="6" t="n">
        <v>163.75</v>
      </c>
      <c r="K286" s="6"/>
      <c r="L286" s="6" t="n">
        <v>210</v>
      </c>
      <c r="M286" s="7" t="n">
        <v>46208</v>
      </c>
      <c r="N286" s="6"/>
      <c r="O286" s="6" t="s">
        <v>84</v>
      </c>
      <c r="P286" s="6" t="n">
        <v>0</v>
      </c>
      <c r="Q286" s="6"/>
      <c r="R286" s="6" t="s">
        <v>92</v>
      </c>
    </row>
    <row r="287" customFormat="false" ht="15" hidden="false" customHeight="false" outlineLevel="0" collapsed="false">
      <c r="A287" s="5" t="n">
        <v>46214</v>
      </c>
      <c r="B287" s="6" t="s">
        <v>50</v>
      </c>
      <c r="C287" s="6" t="s">
        <v>35</v>
      </c>
      <c r="D287" s="6" t="n">
        <v>5</v>
      </c>
      <c r="E287" s="6"/>
      <c r="F287" s="6" t="n">
        <v>210</v>
      </c>
      <c r="G287" s="6" t="n">
        <v>3.81</v>
      </c>
      <c r="H287" s="6" t="n">
        <v>3.81</v>
      </c>
      <c r="I287" s="6" t="n">
        <v>403.91</v>
      </c>
      <c r="J287" s="6" t="n">
        <v>337.36</v>
      </c>
      <c r="K287" s="6"/>
      <c r="L287" s="6" t="n">
        <v>0</v>
      </c>
      <c r="M287" s="6"/>
      <c r="N287" s="6"/>
      <c r="O287" s="6"/>
      <c r="P287" s="6" t="n">
        <v>0</v>
      </c>
      <c r="Q287" s="6" t="n">
        <v>1</v>
      </c>
      <c r="R287" s="6" t="s">
        <v>92</v>
      </c>
    </row>
    <row r="288" customFormat="false" ht="15" hidden="false" customHeight="false" outlineLevel="0" collapsed="false">
      <c r="A288" s="5" t="n">
        <v>46214</v>
      </c>
      <c r="B288" s="6" t="s">
        <v>50</v>
      </c>
      <c r="C288" s="6" t="s">
        <v>35</v>
      </c>
      <c r="D288" s="6" t="n">
        <v>6</v>
      </c>
      <c r="E288" s="6"/>
      <c r="F288" s="6" t="n">
        <v>195</v>
      </c>
      <c r="G288" s="6" t="n">
        <v>3.84</v>
      </c>
      <c r="H288" s="6" t="n">
        <v>3.83</v>
      </c>
      <c r="I288" s="6" t="n">
        <v>413.24</v>
      </c>
      <c r="J288" s="6" t="n">
        <v>399.81</v>
      </c>
      <c r="K288" s="6"/>
      <c r="L288" s="6" t="n">
        <v>0</v>
      </c>
      <c r="M288" s="6"/>
      <c r="N288" s="6"/>
      <c r="O288" s="6"/>
      <c r="P288" s="6" t="n">
        <v>-0.00999999999999979</v>
      </c>
      <c r="Q288" s="6" t="n">
        <v>0.997395833333333</v>
      </c>
      <c r="R288" s="6" t="s">
        <v>92</v>
      </c>
    </row>
    <row r="289" customFormat="false" ht="15" hidden="false" customHeight="false" outlineLevel="0" collapsed="false">
      <c r="A289" s="5" t="n">
        <v>46214</v>
      </c>
      <c r="B289" s="6" t="s">
        <v>50</v>
      </c>
      <c r="C289" s="6" t="s">
        <v>35</v>
      </c>
      <c r="D289" s="6" t="n">
        <v>7</v>
      </c>
      <c r="E289" s="6"/>
      <c r="F289" s="6" t="n">
        <v>195</v>
      </c>
      <c r="G289" s="6" t="n">
        <v>0</v>
      </c>
      <c r="H289" s="6" t="n">
        <v>3.88</v>
      </c>
      <c r="I289" s="6" t="n">
        <v>369</v>
      </c>
      <c r="J289" s="6" t="n">
        <v>359.83</v>
      </c>
      <c r="K289" s="6"/>
      <c r="L289" s="6" t="n">
        <v>0</v>
      </c>
      <c r="M289" s="6"/>
      <c r="N289" s="6"/>
      <c r="O289" s="6"/>
      <c r="P289" s="6" t="n">
        <v>3.88</v>
      </c>
      <c r="Q289" s="6"/>
      <c r="R289" s="6" t="s">
        <v>92</v>
      </c>
    </row>
    <row r="290" customFormat="false" ht="15" hidden="false" customHeight="false" outlineLevel="0" collapsed="false">
      <c r="A290" s="5" t="n">
        <v>46215</v>
      </c>
      <c r="B290" s="6" t="s">
        <v>50</v>
      </c>
      <c r="C290" s="6" t="s">
        <v>5</v>
      </c>
      <c r="D290" s="6"/>
      <c r="E290" s="6"/>
      <c r="F290" s="6" t="n">
        <v>1240</v>
      </c>
      <c r="G290" s="6" t="n">
        <v>15.03</v>
      </c>
      <c r="H290" s="6" t="n">
        <v>16.51</v>
      </c>
      <c r="I290" s="6" t="n">
        <v>2288.36</v>
      </c>
      <c r="J290" s="6" t="n">
        <v>1907.1</v>
      </c>
      <c r="K290" s="6" t="n">
        <v>14</v>
      </c>
      <c r="L290" s="6" t="n">
        <v>320</v>
      </c>
      <c r="M290" s="6"/>
      <c r="N290" s="6"/>
      <c r="O290" s="6"/>
      <c r="P290" s="6" t="n">
        <v>1.48</v>
      </c>
      <c r="Q290" s="6" t="n">
        <v>1.09846972721224</v>
      </c>
      <c r="R290" s="6" t="s">
        <v>93</v>
      </c>
    </row>
    <row r="291" customFormat="false" ht="15" hidden="false" customHeight="false" outlineLevel="0" collapsed="false">
      <c r="A291" s="5" t="n">
        <v>46215</v>
      </c>
      <c r="B291" s="6" t="s">
        <v>50</v>
      </c>
      <c r="C291" s="6" t="s">
        <v>35</v>
      </c>
      <c r="D291" s="6" t="n">
        <v>1</v>
      </c>
      <c r="E291" s="6" t="s">
        <v>76</v>
      </c>
      <c r="F291" s="6" t="n">
        <v>110</v>
      </c>
      <c r="G291" s="6" t="n">
        <v>1.84</v>
      </c>
      <c r="H291" s="6" t="n">
        <v>0</v>
      </c>
      <c r="I291" s="6" t="n">
        <v>199.08</v>
      </c>
      <c r="J291" s="6" t="n">
        <v>144.35</v>
      </c>
      <c r="K291" s="6"/>
      <c r="L291" s="6" t="n">
        <v>110</v>
      </c>
      <c r="M291" s="7" t="n">
        <v>46212.0006944445</v>
      </c>
      <c r="N291" s="6"/>
      <c r="O291" s="6" t="s">
        <v>90</v>
      </c>
      <c r="P291" s="6" t="n">
        <v>-1.84</v>
      </c>
      <c r="Q291" s="6" t="n">
        <v>0</v>
      </c>
      <c r="R291" s="6" t="s">
        <v>93</v>
      </c>
    </row>
    <row r="292" customFormat="false" ht="15" hidden="false" customHeight="false" outlineLevel="0" collapsed="false">
      <c r="A292" s="5" t="n">
        <v>46215</v>
      </c>
      <c r="B292" s="6" t="s">
        <v>50</v>
      </c>
      <c r="C292" s="6" t="s">
        <v>35</v>
      </c>
      <c r="D292" s="6" t="n">
        <v>2</v>
      </c>
      <c r="E292" s="6"/>
      <c r="F292" s="6" t="n">
        <v>110</v>
      </c>
      <c r="G292" s="6" t="n">
        <v>1.87</v>
      </c>
      <c r="H292" s="6" t="n">
        <v>1.53</v>
      </c>
      <c r="I292" s="6" t="n">
        <v>199.44</v>
      </c>
      <c r="J292" s="6" t="n">
        <v>155.64</v>
      </c>
      <c r="K292" s="6"/>
      <c r="L292" s="6" t="n">
        <v>0</v>
      </c>
      <c r="M292" s="6"/>
      <c r="N292" s="6"/>
      <c r="O292" s="6"/>
      <c r="P292" s="6" t="n">
        <v>-0.34</v>
      </c>
      <c r="Q292" s="6" t="n">
        <v>0.818181818181818</v>
      </c>
      <c r="R292" s="6" t="s">
        <v>93</v>
      </c>
    </row>
    <row r="293" customFormat="false" ht="15" hidden="false" customHeight="false" outlineLevel="0" collapsed="false">
      <c r="A293" s="5" t="n">
        <v>46215</v>
      </c>
      <c r="B293" s="6" t="s">
        <v>50</v>
      </c>
      <c r="C293" s="6" t="s">
        <v>35</v>
      </c>
      <c r="D293" s="6" t="n">
        <v>3</v>
      </c>
      <c r="E293" s="6"/>
      <c r="F293" s="6" t="n">
        <v>210</v>
      </c>
      <c r="G293" s="6" t="n">
        <v>3.67</v>
      </c>
      <c r="H293" s="6" t="n">
        <v>3.48</v>
      </c>
      <c r="I293" s="6" t="n">
        <v>402.04</v>
      </c>
      <c r="J293" s="6" t="n">
        <v>334.86</v>
      </c>
      <c r="K293" s="6"/>
      <c r="L293" s="6" t="n">
        <v>0</v>
      </c>
      <c r="M293" s="6"/>
      <c r="N293" s="6"/>
      <c r="O293" s="6"/>
      <c r="P293" s="6" t="n">
        <v>-0.19</v>
      </c>
      <c r="Q293" s="6" t="n">
        <v>0.948228882833788</v>
      </c>
      <c r="R293" s="6" t="s">
        <v>93</v>
      </c>
    </row>
    <row r="294" customFormat="false" ht="15" hidden="false" customHeight="false" outlineLevel="0" collapsed="false">
      <c r="A294" s="5" t="n">
        <v>46215</v>
      </c>
      <c r="B294" s="6" t="s">
        <v>50</v>
      </c>
      <c r="C294" s="6" t="s">
        <v>35</v>
      </c>
      <c r="D294" s="6" t="n">
        <v>4</v>
      </c>
      <c r="E294" s="6" t="s">
        <v>76</v>
      </c>
      <c r="F294" s="6" t="n">
        <v>210</v>
      </c>
      <c r="G294" s="6" t="n">
        <v>0</v>
      </c>
      <c r="H294" s="6" t="n">
        <v>0</v>
      </c>
      <c r="I294" s="6" t="n">
        <v>294</v>
      </c>
      <c r="J294" s="6" t="n">
        <v>163.75</v>
      </c>
      <c r="K294" s="6"/>
      <c r="L294" s="6" t="n">
        <v>210</v>
      </c>
      <c r="M294" s="7" t="n">
        <v>46208</v>
      </c>
      <c r="N294" s="6"/>
      <c r="O294" s="6" t="s">
        <v>84</v>
      </c>
      <c r="P294" s="6" t="n">
        <v>0</v>
      </c>
      <c r="Q294" s="6"/>
      <c r="R294" s="6" t="s">
        <v>93</v>
      </c>
    </row>
    <row r="295" customFormat="false" ht="15" hidden="false" customHeight="false" outlineLevel="0" collapsed="false">
      <c r="A295" s="5" t="n">
        <v>46215</v>
      </c>
      <c r="B295" s="6" t="s">
        <v>50</v>
      </c>
      <c r="C295" s="6" t="s">
        <v>35</v>
      </c>
      <c r="D295" s="6" t="n">
        <v>5</v>
      </c>
      <c r="E295" s="6"/>
      <c r="F295" s="6" t="n">
        <v>210</v>
      </c>
      <c r="G295" s="6" t="n">
        <v>3.81</v>
      </c>
      <c r="H295" s="6" t="n">
        <v>3.78</v>
      </c>
      <c r="I295" s="6" t="n">
        <v>407.72</v>
      </c>
      <c r="J295" s="6" t="n">
        <v>341.14</v>
      </c>
      <c r="K295" s="6"/>
      <c r="L295" s="6" t="n">
        <v>0</v>
      </c>
      <c r="M295" s="6"/>
      <c r="N295" s="6"/>
      <c r="O295" s="6"/>
      <c r="P295" s="6" t="n">
        <v>-0.0300000000000003</v>
      </c>
      <c r="Q295" s="6" t="n">
        <v>0.992125984251968</v>
      </c>
      <c r="R295" s="6" t="s">
        <v>93</v>
      </c>
    </row>
    <row r="296" customFormat="false" ht="15" hidden="false" customHeight="false" outlineLevel="0" collapsed="false">
      <c r="A296" s="5" t="n">
        <v>46215</v>
      </c>
      <c r="B296" s="6" t="s">
        <v>50</v>
      </c>
      <c r="C296" s="6" t="s">
        <v>35</v>
      </c>
      <c r="D296" s="6" t="n">
        <v>6</v>
      </c>
      <c r="E296" s="6"/>
      <c r="F296" s="6" t="n">
        <v>195</v>
      </c>
      <c r="G296" s="6" t="n">
        <v>3.84</v>
      </c>
      <c r="H296" s="6" t="n">
        <v>3.83</v>
      </c>
      <c r="I296" s="6" t="n">
        <v>417.08</v>
      </c>
      <c r="J296" s="6" t="n">
        <v>403.64</v>
      </c>
      <c r="K296" s="6"/>
      <c r="L296" s="6" t="n">
        <v>0</v>
      </c>
      <c r="M296" s="6"/>
      <c r="N296" s="6"/>
      <c r="O296" s="6"/>
      <c r="P296" s="6" t="n">
        <v>-0.00999999999999979</v>
      </c>
      <c r="Q296" s="6" t="n">
        <v>0.997395833333333</v>
      </c>
      <c r="R296" s="6" t="s">
        <v>93</v>
      </c>
    </row>
    <row r="297" customFormat="false" ht="15" hidden="false" customHeight="false" outlineLevel="0" collapsed="false">
      <c r="A297" s="5" t="n">
        <v>46215</v>
      </c>
      <c r="B297" s="6" t="s">
        <v>50</v>
      </c>
      <c r="C297" s="6" t="s">
        <v>35</v>
      </c>
      <c r="D297" s="6" t="n">
        <v>7</v>
      </c>
      <c r="E297" s="6"/>
      <c r="F297" s="6" t="n">
        <v>195</v>
      </c>
      <c r="G297" s="6" t="n">
        <v>0</v>
      </c>
      <c r="H297" s="6" t="n">
        <v>3.89</v>
      </c>
      <c r="I297" s="6" t="n">
        <v>369</v>
      </c>
      <c r="J297" s="6" t="n">
        <v>363.72</v>
      </c>
      <c r="K297" s="6"/>
      <c r="L297" s="6" t="n">
        <v>0</v>
      </c>
      <c r="M297" s="6"/>
      <c r="N297" s="6"/>
      <c r="O297" s="6"/>
      <c r="P297" s="6" t="n">
        <v>3.89</v>
      </c>
      <c r="Q297" s="6"/>
      <c r="R297" s="6" t="s">
        <v>93</v>
      </c>
    </row>
    <row r="298" customFormat="false" ht="15" hidden="false" customHeight="false" outlineLevel="0" collapsed="false">
      <c r="A298" s="5" t="n">
        <v>46216</v>
      </c>
      <c r="B298" s="6" t="s">
        <v>50</v>
      </c>
      <c r="C298" s="6" t="s">
        <v>5</v>
      </c>
      <c r="D298" s="6"/>
      <c r="E298" s="6"/>
      <c r="F298" s="6" t="n">
        <v>1240</v>
      </c>
      <c r="G298" s="6" t="n">
        <v>15.03</v>
      </c>
      <c r="H298" s="6" t="n">
        <v>17.42</v>
      </c>
      <c r="I298" s="6" t="n">
        <v>2303.39</v>
      </c>
      <c r="J298" s="6" t="n">
        <v>1924.52</v>
      </c>
      <c r="K298" s="6" t="n">
        <v>15</v>
      </c>
      <c r="L298" s="6" t="n">
        <v>320</v>
      </c>
      <c r="M298" s="6"/>
      <c r="N298" s="6"/>
      <c r="O298" s="6"/>
      <c r="P298" s="6" t="n">
        <v>2.39</v>
      </c>
      <c r="Q298" s="6" t="n">
        <v>1.15901530272788</v>
      </c>
      <c r="R298" s="6" t="s">
        <v>94</v>
      </c>
    </row>
    <row r="299" customFormat="false" ht="15" hidden="false" customHeight="false" outlineLevel="0" collapsed="false">
      <c r="A299" s="5" t="n">
        <v>46216</v>
      </c>
      <c r="B299" s="6" t="s">
        <v>50</v>
      </c>
      <c r="C299" s="6" t="s">
        <v>35</v>
      </c>
      <c r="D299" s="6" t="n">
        <v>1</v>
      </c>
      <c r="E299" s="6" t="s">
        <v>76</v>
      </c>
      <c r="F299" s="6" t="n">
        <v>110</v>
      </c>
      <c r="G299" s="6" t="n">
        <v>1.84</v>
      </c>
      <c r="H299" s="6" t="n">
        <v>0</v>
      </c>
      <c r="I299" s="6" t="n">
        <v>200.92</v>
      </c>
      <c r="J299" s="6" t="n">
        <v>144.35</v>
      </c>
      <c r="K299" s="6"/>
      <c r="L299" s="6" t="n">
        <v>110</v>
      </c>
      <c r="M299" s="7" t="n">
        <v>46212.0006944445</v>
      </c>
      <c r="N299" s="6"/>
      <c r="O299" s="6" t="s">
        <v>90</v>
      </c>
      <c r="P299" s="6" t="n">
        <v>-1.84</v>
      </c>
      <c r="Q299" s="6" t="n">
        <v>0</v>
      </c>
      <c r="R299" s="6" t="s">
        <v>94</v>
      </c>
    </row>
    <row r="300" customFormat="false" ht="15" hidden="false" customHeight="false" outlineLevel="0" collapsed="false">
      <c r="A300" s="5" t="n">
        <v>46216</v>
      </c>
      <c r="B300" s="6" t="s">
        <v>50</v>
      </c>
      <c r="C300" s="6" t="s">
        <v>35</v>
      </c>
      <c r="D300" s="6" t="n">
        <v>2</v>
      </c>
      <c r="E300" s="6"/>
      <c r="F300" s="6" t="n">
        <v>110</v>
      </c>
      <c r="G300" s="6" t="n">
        <v>1.87</v>
      </c>
      <c r="H300" s="6" t="n">
        <v>1.69</v>
      </c>
      <c r="I300" s="6" t="n">
        <v>201.31</v>
      </c>
      <c r="J300" s="6" t="n">
        <v>157.33</v>
      </c>
      <c r="K300" s="6"/>
      <c r="L300" s="6" t="n">
        <v>0</v>
      </c>
      <c r="M300" s="6"/>
      <c r="N300" s="6"/>
      <c r="O300" s="6"/>
      <c r="P300" s="6" t="n">
        <v>-0.18</v>
      </c>
      <c r="Q300" s="6" t="n">
        <v>0.903743315508021</v>
      </c>
      <c r="R300" s="6" t="s">
        <v>94</v>
      </c>
    </row>
    <row r="301" customFormat="false" ht="15" hidden="false" customHeight="false" outlineLevel="0" collapsed="false">
      <c r="A301" s="5" t="n">
        <v>46216</v>
      </c>
      <c r="B301" s="6" t="s">
        <v>50</v>
      </c>
      <c r="C301" s="6" t="s">
        <v>35</v>
      </c>
      <c r="D301" s="6" t="n">
        <v>3</v>
      </c>
      <c r="E301" s="6"/>
      <c r="F301" s="6" t="n">
        <v>210</v>
      </c>
      <c r="G301" s="6" t="n">
        <v>3.67</v>
      </c>
      <c r="H301" s="6" t="n">
        <v>3.69</v>
      </c>
      <c r="I301" s="6" t="n">
        <v>405.71</v>
      </c>
      <c r="J301" s="6" t="n">
        <v>338.55</v>
      </c>
      <c r="K301" s="6"/>
      <c r="L301" s="6" t="n">
        <v>0</v>
      </c>
      <c r="M301" s="6"/>
      <c r="N301" s="6"/>
      <c r="O301" s="6"/>
      <c r="P301" s="6" t="n">
        <v>0.02</v>
      </c>
      <c r="Q301" s="6" t="n">
        <v>1.00544959128065</v>
      </c>
      <c r="R301" s="6" t="s">
        <v>94</v>
      </c>
    </row>
    <row r="302" customFormat="false" ht="15" hidden="false" customHeight="false" outlineLevel="0" collapsed="false">
      <c r="A302" s="5" t="n">
        <v>46216</v>
      </c>
      <c r="B302" s="6" t="s">
        <v>50</v>
      </c>
      <c r="C302" s="6" t="s">
        <v>35</v>
      </c>
      <c r="D302" s="6" t="n">
        <v>4</v>
      </c>
      <c r="E302" s="6" t="s">
        <v>76</v>
      </c>
      <c r="F302" s="6" t="n">
        <v>210</v>
      </c>
      <c r="G302" s="6" t="n">
        <v>0</v>
      </c>
      <c r="H302" s="6" t="n">
        <v>0</v>
      </c>
      <c r="I302" s="6" t="n">
        <v>294</v>
      </c>
      <c r="J302" s="6" t="n">
        <v>163.75</v>
      </c>
      <c r="K302" s="6"/>
      <c r="L302" s="6" t="n">
        <v>210</v>
      </c>
      <c r="M302" s="7" t="n">
        <v>46208</v>
      </c>
      <c r="N302" s="6"/>
      <c r="O302" s="6" t="s">
        <v>84</v>
      </c>
      <c r="P302" s="6" t="n">
        <v>0</v>
      </c>
      <c r="Q302" s="6"/>
      <c r="R302" s="6" t="s">
        <v>94</v>
      </c>
    </row>
    <row r="303" customFormat="false" ht="15" hidden="false" customHeight="false" outlineLevel="0" collapsed="false">
      <c r="A303" s="5" t="n">
        <v>46216</v>
      </c>
      <c r="B303" s="6" t="s">
        <v>50</v>
      </c>
      <c r="C303" s="6" t="s">
        <v>35</v>
      </c>
      <c r="D303" s="6" t="n">
        <v>5</v>
      </c>
      <c r="E303" s="6"/>
      <c r="F303" s="6" t="n">
        <v>210</v>
      </c>
      <c r="G303" s="6" t="n">
        <v>3.81</v>
      </c>
      <c r="H303" s="6" t="n">
        <v>4.02</v>
      </c>
      <c r="I303" s="6" t="n">
        <v>411.53</v>
      </c>
      <c r="J303" s="6" t="n">
        <v>345.16</v>
      </c>
      <c r="K303" s="6"/>
      <c r="L303" s="6" t="n">
        <v>0</v>
      </c>
      <c r="M303" s="6"/>
      <c r="N303" s="6"/>
      <c r="O303" s="6"/>
      <c r="P303" s="6" t="n">
        <v>0.21</v>
      </c>
      <c r="Q303" s="6" t="n">
        <v>1.05511811023622</v>
      </c>
      <c r="R303" s="6" t="s">
        <v>94</v>
      </c>
    </row>
    <row r="304" customFormat="false" ht="15" hidden="false" customHeight="false" outlineLevel="0" collapsed="false">
      <c r="A304" s="5" t="n">
        <v>46216</v>
      </c>
      <c r="B304" s="6" t="s">
        <v>50</v>
      </c>
      <c r="C304" s="6" t="s">
        <v>35</v>
      </c>
      <c r="D304" s="6" t="n">
        <v>6</v>
      </c>
      <c r="E304" s="6"/>
      <c r="F304" s="6" t="n">
        <v>195</v>
      </c>
      <c r="G304" s="6" t="n">
        <v>3.84</v>
      </c>
      <c r="H304" s="6" t="n">
        <v>3.85</v>
      </c>
      <c r="I304" s="6" t="n">
        <v>420.92</v>
      </c>
      <c r="J304" s="6" t="n">
        <v>407.49</v>
      </c>
      <c r="K304" s="6"/>
      <c r="L304" s="6" t="n">
        <v>0</v>
      </c>
      <c r="M304" s="6"/>
      <c r="N304" s="6"/>
      <c r="O304" s="6"/>
      <c r="P304" s="6" t="n">
        <v>0.0100000000000002</v>
      </c>
      <c r="Q304" s="6" t="n">
        <v>1.00260416666667</v>
      </c>
      <c r="R304" s="6" t="s">
        <v>94</v>
      </c>
    </row>
    <row r="305" customFormat="false" ht="15" hidden="false" customHeight="false" outlineLevel="0" collapsed="false">
      <c r="A305" s="5" t="n">
        <v>46216</v>
      </c>
      <c r="B305" s="6" t="s">
        <v>50</v>
      </c>
      <c r="C305" s="6" t="s">
        <v>35</v>
      </c>
      <c r="D305" s="6" t="n">
        <v>7</v>
      </c>
      <c r="E305" s="6"/>
      <c r="F305" s="6" t="n">
        <v>195</v>
      </c>
      <c r="G305" s="6" t="n">
        <v>0</v>
      </c>
      <c r="H305" s="6" t="n">
        <v>4.17</v>
      </c>
      <c r="I305" s="6" t="n">
        <v>369</v>
      </c>
      <c r="J305" s="6" t="n">
        <v>367.89</v>
      </c>
      <c r="K305" s="6"/>
      <c r="L305" s="6" t="n">
        <v>0</v>
      </c>
      <c r="M305" s="6"/>
      <c r="N305" s="6"/>
      <c r="O305" s="6"/>
      <c r="P305" s="6" t="n">
        <v>4.17</v>
      </c>
      <c r="Q305" s="6"/>
      <c r="R305" s="6" t="s">
        <v>94</v>
      </c>
    </row>
    <row r="306" customFormat="false" ht="15" hidden="false" customHeight="false" outlineLevel="0" collapsed="false">
      <c r="A306" s="5" t="n">
        <v>46217</v>
      </c>
      <c r="B306" s="6" t="s">
        <v>50</v>
      </c>
      <c r="C306" s="6" t="s">
        <v>5</v>
      </c>
      <c r="D306" s="6"/>
      <c r="E306" s="6"/>
      <c r="F306" s="6" t="n">
        <v>1240</v>
      </c>
      <c r="G306" s="6" t="n">
        <v>15.03</v>
      </c>
      <c r="H306" s="6" t="n">
        <v>17.59</v>
      </c>
      <c r="I306" s="6" t="n">
        <v>2318.42</v>
      </c>
      <c r="J306" s="6" t="n">
        <v>1942.11</v>
      </c>
      <c r="K306" s="6" t="n">
        <v>15</v>
      </c>
      <c r="L306" s="6" t="n">
        <v>320</v>
      </c>
      <c r="M306" s="6"/>
      <c r="N306" s="6"/>
      <c r="O306" s="6"/>
      <c r="P306" s="6" t="n">
        <v>2.56</v>
      </c>
      <c r="Q306" s="6" t="n">
        <v>1.17032601463739</v>
      </c>
      <c r="R306" s="6" t="s">
        <v>95</v>
      </c>
    </row>
    <row r="307" customFormat="false" ht="15" hidden="false" customHeight="false" outlineLevel="0" collapsed="false">
      <c r="A307" s="5" t="n">
        <v>46217</v>
      </c>
      <c r="B307" s="6" t="s">
        <v>50</v>
      </c>
      <c r="C307" s="6" t="s">
        <v>35</v>
      </c>
      <c r="D307" s="6" t="n">
        <v>1</v>
      </c>
      <c r="E307" s="6" t="s">
        <v>76</v>
      </c>
      <c r="F307" s="6" t="n">
        <v>110</v>
      </c>
      <c r="G307" s="6" t="n">
        <v>1.84</v>
      </c>
      <c r="H307" s="6" t="n">
        <v>0</v>
      </c>
      <c r="I307" s="6" t="n">
        <v>202.76</v>
      </c>
      <c r="J307" s="6" t="n">
        <v>144.35</v>
      </c>
      <c r="K307" s="6"/>
      <c r="L307" s="6" t="n">
        <v>110</v>
      </c>
      <c r="M307" s="7" t="n">
        <v>46212.0006944445</v>
      </c>
      <c r="N307" s="6"/>
      <c r="O307" s="6" t="s">
        <v>90</v>
      </c>
      <c r="P307" s="6" t="n">
        <v>-1.84</v>
      </c>
      <c r="Q307" s="6" t="n">
        <v>0</v>
      </c>
      <c r="R307" s="6" t="s">
        <v>95</v>
      </c>
    </row>
    <row r="308" customFormat="false" ht="15" hidden="false" customHeight="false" outlineLevel="0" collapsed="false">
      <c r="A308" s="5" t="n">
        <v>46217</v>
      </c>
      <c r="B308" s="6" t="s">
        <v>50</v>
      </c>
      <c r="C308" s="6" t="s">
        <v>35</v>
      </c>
      <c r="D308" s="6" t="n">
        <v>2</v>
      </c>
      <c r="E308" s="6"/>
      <c r="F308" s="6" t="n">
        <v>110</v>
      </c>
      <c r="G308" s="6" t="n">
        <v>1.87</v>
      </c>
      <c r="H308" s="6" t="n">
        <v>1.77</v>
      </c>
      <c r="I308" s="6" t="n">
        <v>203.18</v>
      </c>
      <c r="J308" s="6" t="n">
        <v>159.1</v>
      </c>
      <c r="K308" s="6"/>
      <c r="L308" s="6" t="n">
        <v>0</v>
      </c>
      <c r="M308" s="6"/>
      <c r="N308" s="6"/>
      <c r="O308" s="6"/>
      <c r="P308" s="6" t="n">
        <v>-0.1</v>
      </c>
      <c r="Q308" s="6" t="n">
        <v>0.946524064171123</v>
      </c>
      <c r="R308" s="6" t="s">
        <v>95</v>
      </c>
    </row>
    <row r="309" customFormat="false" ht="15" hidden="false" customHeight="false" outlineLevel="0" collapsed="false">
      <c r="A309" s="5" t="n">
        <v>46217</v>
      </c>
      <c r="B309" s="6" t="s">
        <v>50</v>
      </c>
      <c r="C309" s="6" t="s">
        <v>35</v>
      </c>
      <c r="D309" s="6" t="n">
        <v>3</v>
      </c>
      <c r="E309" s="6"/>
      <c r="F309" s="6" t="n">
        <v>210</v>
      </c>
      <c r="G309" s="6" t="n">
        <v>3.67</v>
      </c>
      <c r="H309" s="6" t="n">
        <v>3.82</v>
      </c>
      <c r="I309" s="6" t="n">
        <v>409.38</v>
      </c>
      <c r="J309" s="6" t="n">
        <v>342.37</v>
      </c>
      <c r="K309" s="6"/>
      <c r="L309" s="6" t="n">
        <v>0</v>
      </c>
      <c r="M309" s="6"/>
      <c r="N309" s="6"/>
      <c r="O309" s="6"/>
      <c r="P309" s="6" t="n">
        <v>0.15</v>
      </c>
      <c r="Q309" s="6" t="n">
        <v>1.04087193460491</v>
      </c>
      <c r="R309" s="6" t="s">
        <v>95</v>
      </c>
    </row>
    <row r="310" customFormat="false" ht="15" hidden="false" customHeight="false" outlineLevel="0" collapsed="false">
      <c r="A310" s="5" t="n">
        <v>46217</v>
      </c>
      <c r="B310" s="6" t="s">
        <v>50</v>
      </c>
      <c r="C310" s="6" t="s">
        <v>35</v>
      </c>
      <c r="D310" s="6" t="n">
        <v>4</v>
      </c>
      <c r="E310" s="6" t="s">
        <v>76</v>
      </c>
      <c r="F310" s="6" t="n">
        <v>210</v>
      </c>
      <c r="G310" s="6" t="n">
        <v>0</v>
      </c>
      <c r="H310" s="6" t="n">
        <v>0</v>
      </c>
      <c r="I310" s="6" t="n">
        <v>294</v>
      </c>
      <c r="J310" s="6" t="n">
        <v>163.75</v>
      </c>
      <c r="K310" s="6"/>
      <c r="L310" s="6" t="n">
        <v>210</v>
      </c>
      <c r="M310" s="7" t="n">
        <v>46208</v>
      </c>
      <c r="N310" s="6"/>
      <c r="O310" s="6" t="s">
        <v>84</v>
      </c>
      <c r="P310" s="6" t="n">
        <v>0</v>
      </c>
      <c r="Q310" s="6"/>
      <c r="R310" s="6" t="s">
        <v>95</v>
      </c>
    </row>
    <row r="311" customFormat="false" ht="15" hidden="false" customHeight="false" outlineLevel="0" collapsed="false">
      <c r="A311" s="5" t="n">
        <v>46217</v>
      </c>
      <c r="B311" s="6" t="s">
        <v>50</v>
      </c>
      <c r="C311" s="6" t="s">
        <v>35</v>
      </c>
      <c r="D311" s="6" t="n">
        <v>5</v>
      </c>
      <c r="E311" s="6"/>
      <c r="F311" s="6" t="n">
        <v>210</v>
      </c>
      <c r="G311" s="6" t="n">
        <v>3.81</v>
      </c>
      <c r="H311" s="6" t="n">
        <v>4.11</v>
      </c>
      <c r="I311" s="6" t="n">
        <v>415.34</v>
      </c>
      <c r="J311" s="6" t="n">
        <v>349.27</v>
      </c>
      <c r="K311" s="6"/>
      <c r="L311" s="6" t="n">
        <v>0</v>
      </c>
      <c r="M311" s="6"/>
      <c r="N311" s="6"/>
      <c r="O311" s="6"/>
      <c r="P311" s="6" t="n">
        <v>0.3</v>
      </c>
      <c r="Q311" s="6" t="n">
        <v>1.07874015748032</v>
      </c>
      <c r="R311" s="6" t="s">
        <v>95</v>
      </c>
    </row>
    <row r="312" customFormat="false" ht="15" hidden="false" customHeight="false" outlineLevel="0" collapsed="false">
      <c r="A312" s="5" t="n">
        <v>46217</v>
      </c>
      <c r="B312" s="6" t="s">
        <v>50</v>
      </c>
      <c r="C312" s="6" t="s">
        <v>35</v>
      </c>
      <c r="D312" s="6" t="n">
        <v>6</v>
      </c>
      <c r="E312" s="6"/>
      <c r="F312" s="6" t="n">
        <v>195</v>
      </c>
      <c r="G312" s="6" t="n">
        <v>3.84</v>
      </c>
      <c r="H312" s="6" t="n">
        <v>3.71</v>
      </c>
      <c r="I312" s="6" t="n">
        <v>424.76</v>
      </c>
      <c r="J312" s="6" t="n">
        <v>411.2</v>
      </c>
      <c r="K312" s="6"/>
      <c r="L312" s="6" t="n">
        <v>0</v>
      </c>
      <c r="M312" s="6"/>
      <c r="N312" s="6"/>
      <c r="O312" s="6"/>
      <c r="P312" s="6" t="n">
        <v>-0.13</v>
      </c>
      <c r="Q312" s="6" t="n">
        <v>0.966145833333333</v>
      </c>
      <c r="R312" s="6" t="s">
        <v>95</v>
      </c>
    </row>
    <row r="313" customFormat="false" ht="15" hidden="false" customHeight="false" outlineLevel="0" collapsed="false">
      <c r="A313" s="5" t="n">
        <v>46217</v>
      </c>
      <c r="B313" s="6" t="s">
        <v>50</v>
      </c>
      <c r="C313" s="6" t="s">
        <v>35</v>
      </c>
      <c r="D313" s="6" t="n">
        <v>7</v>
      </c>
      <c r="E313" s="6"/>
      <c r="F313" s="6" t="n">
        <v>195</v>
      </c>
      <c r="G313" s="6" t="n">
        <v>0</v>
      </c>
      <c r="H313" s="6" t="n">
        <v>4.18</v>
      </c>
      <c r="I313" s="6" t="n">
        <v>369</v>
      </c>
      <c r="J313" s="6" t="n">
        <v>372.07</v>
      </c>
      <c r="K313" s="6"/>
      <c r="L313" s="6" t="n">
        <v>0</v>
      </c>
      <c r="M313" s="6"/>
      <c r="N313" s="6"/>
      <c r="O313" s="6"/>
      <c r="P313" s="6" t="n">
        <v>4.18</v>
      </c>
      <c r="Q313" s="6"/>
      <c r="R313" s="6" t="s">
        <v>95</v>
      </c>
    </row>
    <row r="314" customFormat="false" ht="15" hidden="false" customHeight="false" outlineLevel="0" collapsed="false">
      <c r="A314" s="5" t="n">
        <v>46218</v>
      </c>
      <c r="B314" s="6" t="s">
        <v>50</v>
      </c>
      <c r="C314" s="6" t="s">
        <v>5</v>
      </c>
      <c r="D314" s="6"/>
      <c r="E314" s="6"/>
      <c r="F314" s="6" t="n">
        <v>1240</v>
      </c>
      <c r="G314" s="6" t="n">
        <v>15.03</v>
      </c>
      <c r="H314" s="6" t="n">
        <v>17.58</v>
      </c>
      <c r="I314" s="6" t="n">
        <v>2333.45</v>
      </c>
      <c r="J314" s="6" t="n">
        <v>1959.69</v>
      </c>
      <c r="K314" s="6" t="n">
        <v>16</v>
      </c>
      <c r="L314" s="6" t="n">
        <v>515</v>
      </c>
      <c r="M314" s="6"/>
      <c r="N314" s="6"/>
      <c r="O314" s="6"/>
      <c r="P314" s="6" t="n">
        <v>2.55</v>
      </c>
      <c r="Q314" s="6" t="n">
        <v>1.16966067864272</v>
      </c>
      <c r="R314" s="6" t="s">
        <v>96</v>
      </c>
    </row>
    <row r="315" customFormat="false" ht="15" hidden="false" customHeight="false" outlineLevel="0" collapsed="false">
      <c r="A315" s="5" t="n">
        <v>46218</v>
      </c>
      <c r="B315" s="6" t="s">
        <v>50</v>
      </c>
      <c r="C315" s="6" t="s">
        <v>35</v>
      </c>
      <c r="D315" s="6" t="n">
        <v>1</v>
      </c>
      <c r="E315" s="6" t="s">
        <v>76</v>
      </c>
      <c r="F315" s="6" t="n">
        <v>110</v>
      </c>
      <c r="G315" s="6" t="n">
        <v>1.84</v>
      </c>
      <c r="H315" s="6" t="n">
        <v>0</v>
      </c>
      <c r="I315" s="6" t="n">
        <v>204.6</v>
      </c>
      <c r="J315" s="6" t="n">
        <v>144.35</v>
      </c>
      <c r="K315" s="6"/>
      <c r="L315" s="6" t="n">
        <v>110</v>
      </c>
      <c r="M315" s="7" t="n">
        <v>46212.0006944445</v>
      </c>
      <c r="N315" s="6"/>
      <c r="O315" s="6" t="s">
        <v>90</v>
      </c>
      <c r="P315" s="6" t="n">
        <v>-1.84</v>
      </c>
      <c r="Q315" s="6" t="n">
        <v>0</v>
      </c>
      <c r="R315" s="6" t="s">
        <v>96</v>
      </c>
    </row>
    <row r="316" customFormat="false" ht="15" hidden="false" customHeight="false" outlineLevel="0" collapsed="false">
      <c r="A316" s="5" t="n">
        <v>46218</v>
      </c>
      <c r="B316" s="6" t="s">
        <v>50</v>
      </c>
      <c r="C316" s="6" t="s">
        <v>35</v>
      </c>
      <c r="D316" s="6" t="n">
        <v>2</v>
      </c>
      <c r="E316" s="6"/>
      <c r="F316" s="6" t="n">
        <v>110</v>
      </c>
      <c r="G316" s="6" t="n">
        <v>1.87</v>
      </c>
      <c r="H316" s="6" t="n">
        <v>1.88</v>
      </c>
      <c r="I316" s="6" t="n">
        <v>205.05</v>
      </c>
      <c r="J316" s="6" t="n">
        <v>160.98</v>
      </c>
      <c r="K316" s="6"/>
      <c r="L316" s="6" t="n">
        <v>0</v>
      </c>
      <c r="M316" s="6"/>
      <c r="N316" s="6"/>
      <c r="O316" s="6"/>
      <c r="P316" s="6" t="n">
        <v>0.00999999999999979</v>
      </c>
      <c r="Q316" s="6" t="n">
        <v>1.00534759358289</v>
      </c>
      <c r="R316" s="6" t="s">
        <v>96</v>
      </c>
    </row>
    <row r="317" customFormat="false" ht="15" hidden="false" customHeight="false" outlineLevel="0" collapsed="false">
      <c r="A317" s="5" t="n">
        <v>46218</v>
      </c>
      <c r="B317" s="6" t="s">
        <v>50</v>
      </c>
      <c r="C317" s="6" t="s">
        <v>35</v>
      </c>
      <c r="D317" s="6" t="n">
        <v>3</v>
      </c>
      <c r="E317" s="6"/>
      <c r="F317" s="6" t="n">
        <v>210</v>
      </c>
      <c r="G317" s="6" t="n">
        <v>3.67</v>
      </c>
      <c r="H317" s="6" t="n">
        <v>3.86</v>
      </c>
      <c r="I317" s="6" t="n">
        <v>413.05</v>
      </c>
      <c r="J317" s="6" t="n">
        <v>346.23</v>
      </c>
      <c r="K317" s="6"/>
      <c r="L317" s="6" t="n">
        <v>0</v>
      </c>
      <c r="M317" s="6"/>
      <c r="N317" s="6"/>
      <c r="O317" s="6"/>
      <c r="P317" s="6" t="n">
        <v>0.19</v>
      </c>
      <c r="Q317" s="6" t="n">
        <v>1.05177111716621</v>
      </c>
      <c r="R317" s="6" t="s">
        <v>96</v>
      </c>
    </row>
    <row r="318" customFormat="false" ht="15" hidden="false" customHeight="false" outlineLevel="0" collapsed="false">
      <c r="A318" s="5" t="n">
        <v>46218</v>
      </c>
      <c r="B318" s="6" t="s">
        <v>50</v>
      </c>
      <c r="C318" s="6" t="s">
        <v>35</v>
      </c>
      <c r="D318" s="6" t="n">
        <v>4</v>
      </c>
      <c r="E318" s="6" t="s">
        <v>76</v>
      </c>
      <c r="F318" s="6" t="n">
        <v>210</v>
      </c>
      <c r="G318" s="6" t="n">
        <v>0</v>
      </c>
      <c r="H318" s="6" t="n">
        <v>0.56</v>
      </c>
      <c r="I318" s="6" t="n">
        <v>294</v>
      </c>
      <c r="J318" s="6" t="n">
        <v>164.31</v>
      </c>
      <c r="K318" s="6"/>
      <c r="L318" s="6" t="n">
        <v>210</v>
      </c>
      <c r="M318" s="7" t="n">
        <v>46218.9659722222</v>
      </c>
      <c r="N318" s="6"/>
      <c r="O318" s="6" t="s">
        <v>97</v>
      </c>
      <c r="P318" s="6" t="n">
        <v>0.56</v>
      </c>
      <c r="Q318" s="6"/>
      <c r="R318" s="6" t="s">
        <v>96</v>
      </c>
    </row>
    <row r="319" customFormat="false" ht="15" hidden="false" customHeight="false" outlineLevel="0" collapsed="false">
      <c r="A319" s="5" t="n">
        <v>46218</v>
      </c>
      <c r="B319" s="6" t="s">
        <v>50</v>
      </c>
      <c r="C319" s="6" t="s">
        <v>35</v>
      </c>
      <c r="D319" s="6" t="n">
        <v>5</v>
      </c>
      <c r="E319" s="6"/>
      <c r="F319" s="6" t="n">
        <v>210</v>
      </c>
      <c r="G319" s="6" t="n">
        <v>3.81</v>
      </c>
      <c r="H319" s="6" t="n">
        <v>4.16</v>
      </c>
      <c r="I319" s="6" t="n">
        <v>419.15</v>
      </c>
      <c r="J319" s="6" t="n">
        <v>353.43</v>
      </c>
      <c r="K319" s="6"/>
      <c r="L319" s="6" t="n">
        <v>0</v>
      </c>
      <c r="M319" s="6"/>
      <c r="N319" s="6"/>
      <c r="O319" s="6"/>
      <c r="P319" s="6" t="n">
        <v>0.35</v>
      </c>
      <c r="Q319" s="6" t="n">
        <v>1.09186351706037</v>
      </c>
      <c r="R319" s="6" t="s">
        <v>96</v>
      </c>
    </row>
    <row r="320" customFormat="false" ht="15" hidden="false" customHeight="false" outlineLevel="0" collapsed="false">
      <c r="A320" s="5" t="n">
        <v>46218</v>
      </c>
      <c r="B320" s="6" t="s">
        <v>50</v>
      </c>
      <c r="C320" s="6" t="s">
        <v>35</v>
      </c>
      <c r="D320" s="6" t="n">
        <v>6</v>
      </c>
      <c r="E320" s="6"/>
      <c r="F320" s="6" t="n">
        <v>195</v>
      </c>
      <c r="G320" s="6" t="n">
        <v>3.84</v>
      </c>
      <c r="H320" s="6" t="n">
        <v>3.85</v>
      </c>
      <c r="I320" s="6" t="n">
        <v>428.6</v>
      </c>
      <c r="J320" s="6" t="n">
        <v>415.05</v>
      </c>
      <c r="K320" s="6"/>
      <c r="L320" s="6" t="n">
        <v>0</v>
      </c>
      <c r="M320" s="6"/>
      <c r="N320" s="6"/>
      <c r="O320" s="6"/>
      <c r="P320" s="6" t="n">
        <v>0.0100000000000002</v>
      </c>
      <c r="Q320" s="6" t="n">
        <v>1.00260416666667</v>
      </c>
      <c r="R320" s="6" t="s">
        <v>96</v>
      </c>
    </row>
    <row r="321" customFormat="false" ht="15" hidden="false" customHeight="false" outlineLevel="0" collapsed="false">
      <c r="A321" s="5" t="n">
        <v>46218</v>
      </c>
      <c r="B321" s="6" t="s">
        <v>50</v>
      </c>
      <c r="C321" s="6" t="s">
        <v>35</v>
      </c>
      <c r="D321" s="6" t="n">
        <v>7</v>
      </c>
      <c r="E321" s="6" t="s">
        <v>76</v>
      </c>
      <c r="F321" s="6" t="n">
        <v>195</v>
      </c>
      <c r="G321" s="6" t="n">
        <v>0</v>
      </c>
      <c r="H321" s="6" t="n">
        <v>3.27</v>
      </c>
      <c r="I321" s="6" t="n">
        <v>369</v>
      </c>
      <c r="J321" s="6" t="n">
        <v>375.34</v>
      </c>
      <c r="K321" s="6"/>
      <c r="L321" s="6" t="n">
        <v>195</v>
      </c>
      <c r="M321" s="7" t="n">
        <v>46218.7986111111</v>
      </c>
      <c r="N321" s="6"/>
      <c r="O321" s="6" t="s">
        <v>98</v>
      </c>
      <c r="P321" s="6" t="n">
        <v>3.27</v>
      </c>
      <c r="Q321" s="6"/>
      <c r="R321" s="6" t="s">
        <v>96</v>
      </c>
    </row>
    <row r="322" customFormat="false" ht="15" hidden="false" customHeight="false" outlineLevel="0" collapsed="false">
      <c r="A322" s="5" t="n">
        <v>46219</v>
      </c>
      <c r="B322" s="6" t="s">
        <v>50</v>
      </c>
      <c r="C322" s="6" t="s">
        <v>5</v>
      </c>
      <c r="D322" s="6"/>
      <c r="E322" s="6"/>
      <c r="F322" s="6" t="n">
        <v>1240</v>
      </c>
      <c r="G322" s="6" t="n">
        <v>11.36</v>
      </c>
      <c r="H322" s="6" t="n">
        <v>14.43</v>
      </c>
      <c r="I322" s="6" t="n">
        <v>2344.81</v>
      </c>
      <c r="J322" s="6" t="n">
        <v>1974.12</v>
      </c>
      <c r="K322" s="6" t="n">
        <v>16</v>
      </c>
      <c r="L322" s="6" t="n">
        <v>515</v>
      </c>
      <c r="M322" s="6"/>
      <c r="N322" s="6"/>
      <c r="O322" s="6"/>
      <c r="P322" s="6" t="n">
        <v>3.07</v>
      </c>
      <c r="Q322" s="6" t="n">
        <v>1.27024647887324</v>
      </c>
      <c r="R322" s="6" t="s">
        <v>99</v>
      </c>
    </row>
    <row r="323" customFormat="false" ht="15" hidden="false" customHeight="false" outlineLevel="0" collapsed="false">
      <c r="A323" s="5" t="n">
        <v>46219</v>
      </c>
      <c r="B323" s="6" t="s">
        <v>50</v>
      </c>
      <c r="C323" s="6" t="s">
        <v>35</v>
      </c>
      <c r="D323" s="6" t="n">
        <v>1</v>
      </c>
      <c r="E323" s="6" t="s">
        <v>76</v>
      </c>
      <c r="F323" s="6" t="n">
        <v>110</v>
      </c>
      <c r="G323" s="6" t="n">
        <v>1.84</v>
      </c>
      <c r="H323" s="6" t="n">
        <v>0</v>
      </c>
      <c r="I323" s="6" t="n">
        <v>206.44</v>
      </c>
      <c r="J323" s="6" t="n">
        <v>144.35</v>
      </c>
      <c r="K323" s="6"/>
      <c r="L323" s="6" t="n">
        <v>110</v>
      </c>
      <c r="M323" s="7" t="n">
        <v>46212.0006944445</v>
      </c>
      <c r="N323" s="6"/>
      <c r="O323" s="6" t="s">
        <v>90</v>
      </c>
      <c r="P323" s="6" t="n">
        <v>-1.84</v>
      </c>
      <c r="Q323" s="6" t="n">
        <v>0</v>
      </c>
      <c r="R323" s="6" t="s">
        <v>99</v>
      </c>
    </row>
    <row r="324" customFormat="false" ht="15" hidden="false" customHeight="false" outlineLevel="0" collapsed="false">
      <c r="A324" s="5" t="n">
        <v>46219</v>
      </c>
      <c r="B324" s="6" t="s">
        <v>50</v>
      </c>
      <c r="C324" s="6" t="s">
        <v>35</v>
      </c>
      <c r="D324" s="6" t="n">
        <v>2</v>
      </c>
      <c r="E324" s="6"/>
      <c r="F324" s="6" t="n">
        <v>110</v>
      </c>
      <c r="G324" s="6" t="n">
        <v>1.87</v>
      </c>
      <c r="H324" s="6" t="n">
        <v>1.93</v>
      </c>
      <c r="I324" s="6" t="n">
        <v>206.92</v>
      </c>
      <c r="J324" s="6" t="n">
        <v>162.91</v>
      </c>
      <c r="K324" s="6"/>
      <c r="L324" s="6" t="n">
        <v>0</v>
      </c>
      <c r="M324" s="6"/>
      <c r="N324" s="6"/>
      <c r="O324" s="6"/>
      <c r="P324" s="6" t="n">
        <v>0.0599999999999998</v>
      </c>
      <c r="Q324" s="6" t="n">
        <v>1.03208556149733</v>
      </c>
      <c r="R324" s="6" t="s">
        <v>99</v>
      </c>
    </row>
    <row r="325" customFormat="false" ht="15" hidden="false" customHeight="false" outlineLevel="0" collapsed="false">
      <c r="A325" s="5" t="n">
        <v>46219</v>
      </c>
      <c r="B325" s="6" t="s">
        <v>50</v>
      </c>
      <c r="C325" s="6" t="s">
        <v>35</v>
      </c>
      <c r="D325" s="6" t="n">
        <v>3</v>
      </c>
      <c r="E325" s="6"/>
      <c r="F325" s="6" t="n">
        <v>210</v>
      </c>
      <c r="G325" s="6" t="n">
        <v>0</v>
      </c>
      <c r="H325" s="6" t="n">
        <v>4</v>
      </c>
      <c r="I325" s="6" t="n">
        <v>413.05</v>
      </c>
      <c r="J325" s="6" t="n">
        <v>350.23</v>
      </c>
      <c r="K325" s="6"/>
      <c r="L325" s="6" t="n">
        <v>0</v>
      </c>
      <c r="M325" s="6"/>
      <c r="N325" s="6"/>
      <c r="O325" s="6"/>
      <c r="P325" s="6" t="n">
        <v>4</v>
      </c>
      <c r="Q325" s="6"/>
      <c r="R325" s="6" t="s">
        <v>99</v>
      </c>
    </row>
    <row r="326" customFormat="false" ht="15" hidden="false" customHeight="false" outlineLevel="0" collapsed="false">
      <c r="A326" s="5" t="n">
        <v>46219</v>
      </c>
      <c r="B326" s="6" t="s">
        <v>50</v>
      </c>
      <c r="C326" s="6" t="s">
        <v>35</v>
      </c>
      <c r="D326" s="6" t="n">
        <v>4</v>
      </c>
      <c r="E326" s="6" t="s">
        <v>76</v>
      </c>
      <c r="F326" s="6" t="n">
        <v>210</v>
      </c>
      <c r="G326" s="6" t="n">
        <v>0</v>
      </c>
      <c r="H326" s="6" t="n">
        <v>0.25</v>
      </c>
      <c r="I326" s="6" t="n">
        <v>294</v>
      </c>
      <c r="J326" s="6" t="n">
        <v>164.56</v>
      </c>
      <c r="K326" s="6"/>
      <c r="L326" s="6" t="n">
        <v>210</v>
      </c>
      <c r="M326" s="7" t="n">
        <v>46219.9576388889</v>
      </c>
      <c r="N326" s="6"/>
      <c r="O326" s="6" t="s">
        <v>84</v>
      </c>
      <c r="P326" s="6" t="n">
        <v>0.25</v>
      </c>
      <c r="Q326" s="6"/>
      <c r="R326" s="6" t="s">
        <v>99</v>
      </c>
    </row>
    <row r="327" customFormat="false" ht="15" hidden="false" customHeight="false" outlineLevel="0" collapsed="false">
      <c r="A327" s="5" t="n">
        <v>46219</v>
      </c>
      <c r="B327" s="6" t="s">
        <v>50</v>
      </c>
      <c r="C327" s="6" t="s">
        <v>35</v>
      </c>
      <c r="D327" s="6" t="n">
        <v>5</v>
      </c>
      <c r="E327" s="6"/>
      <c r="F327" s="6" t="n">
        <v>210</v>
      </c>
      <c r="G327" s="6" t="n">
        <v>3.81</v>
      </c>
      <c r="H327" s="6" t="n">
        <v>4.41</v>
      </c>
      <c r="I327" s="6" t="n">
        <v>422.96</v>
      </c>
      <c r="J327" s="6" t="n">
        <v>357.84</v>
      </c>
      <c r="K327" s="6"/>
      <c r="L327" s="6" t="n">
        <v>0</v>
      </c>
      <c r="M327" s="6"/>
      <c r="N327" s="6"/>
      <c r="O327" s="6"/>
      <c r="P327" s="6" t="n">
        <v>0.6</v>
      </c>
      <c r="Q327" s="6" t="n">
        <v>1.15748031496063</v>
      </c>
      <c r="R327" s="6" t="s">
        <v>99</v>
      </c>
    </row>
    <row r="328" customFormat="false" ht="15" hidden="false" customHeight="false" outlineLevel="0" collapsed="false">
      <c r="A328" s="5" t="n">
        <v>46219</v>
      </c>
      <c r="B328" s="6" t="s">
        <v>50</v>
      </c>
      <c r="C328" s="6" t="s">
        <v>35</v>
      </c>
      <c r="D328" s="6" t="n">
        <v>6</v>
      </c>
      <c r="E328" s="6"/>
      <c r="F328" s="6" t="n">
        <v>195</v>
      </c>
      <c r="G328" s="6" t="n">
        <v>3.84</v>
      </c>
      <c r="H328" s="6" t="n">
        <v>3.84</v>
      </c>
      <c r="I328" s="6" t="n">
        <v>432.44</v>
      </c>
      <c r="J328" s="6" t="n">
        <v>418.89</v>
      </c>
      <c r="K328" s="6"/>
      <c r="L328" s="6" t="n">
        <v>0</v>
      </c>
      <c r="M328" s="6"/>
      <c r="N328" s="6"/>
      <c r="O328" s="6"/>
      <c r="P328" s="6" t="n">
        <v>0</v>
      </c>
      <c r="Q328" s="6" t="n">
        <v>1</v>
      </c>
      <c r="R328" s="6" t="s">
        <v>99</v>
      </c>
    </row>
    <row r="329" customFormat="false" ht="15" hidden="false" customHeight="false" outlineLevel="0" collapsed="false">
      <c r="A329" s="5" t="n">
        <v>46219</v>
      </c>
      <c r="B329" s="6" t="s">
        <v>50</v>
      </c>
      <c r="C329" s="6" t="s">
        <v>35</v>
      </c>
      <c r="D329" s="6" t="n">
        <v>7</v>
      </c>
      <c r="E329" s="6" t="s">
        <v>76</v>
      </c>
      <c r="F329" s="6" t="n">
        <v>195</v>
      </c>
      <c r="G329" s="6" t="n">
        <v>0</v>
      </c>
      <c r="H329" s="6" t="n">
        <v>0</v>
      </c>
      <c r="I329" s="6" t="n">
        <v>369</v>
      </c>
      <c r="J329" s="6" t="n">
        <v>375.34</v>
      </c>
      <c r="K329" s="6"/>
      <c r="L329" s="6" t="n">
        <v>195</v>
      </c>
      <c r="M329" s="7" t="n">
        <v>46218.7986111111</v>
      </c>
      <c r="N329" s="6"/>
      <c r="O329" s="6" t="s">
        <v>98</v>
      </c>
      <c r="P329" s="6" t="n">
        <v>0</v>
      </c>
      <c r="Q329" s="6"/>
      <c r="R329" s="6" t="s">
        <v>99</v>
      </c>
    </row>
    <row r="330" customFormat="false" ht="15" hidden="false" customHeight="false" outlineLevel="0" collapsed="false">
      <c r="A330" s="5" t="n">
        <v>46220</v>
      </c>
      <c r="B330" s="6" t="s">
        <v>50</v>
      </c>
      <c r="C330" s="6" t="s">
        <v>5</v>
      </c>
      <c r="D330" s="6"/>
      <c r="E330" s="6"/>
      <c r="F330" s="6" t="n">
        <v>1240</v>
      </c>
      <c r="G330" s="6" t="n">
        <v>11.36</v>
      </c>
      <c r="H330" s="6" t="n">
        <v>14.86</v>
      </c>
      <c r="I330" s="6" t="n">
        <v>2356.17</v>
      </c>
      <c r="J330" s="6" t="n">
        <v>1988.98</v>
      </c>
      <c r="K330" s="6" t="n">
        <v>16</v>
      </c>
      <c r="L330" s="6" t="n">
        <v>515</v>
      </c>
      <c r="M330" s="6"/>
      <c r="N330" s="6"/>
      <c r="O330" s="6"/>
      <c r="P330" s="6" t="n">
        <v>3.5</v>
      </c>
      <c r="Q330" s="6" t="n">
        <v>1.3080985915493</v>
      </c>
      <c r="R330" s="6" t="s">
        <v>100</v>
      </c>
    </row>
    <row r="331" customFormat="false" ht="15" hidden="false" customHeight="false" outlineLevel="0" collapsed="false">
      <c r="A331" s="5" t="n">
        <v>46220</v>
      </c>
      <c r="B331" s="6" t="s">
        <v>50</v>
      </c>
      <c r="C331" s="6" t="s">
        <v>35</v>
      </c>
      <c r="D331" s="6" t="n">
        <v>1</v>
      </c>
      <c r="E331" s="6" t="s">
        <v>76</v>
      </c>
      <c r="F331" s="6" t="n">
        <v>110</v>
      </c>
      <c r="G331" s="6" t="n">
        <v>1.84</v>
      </c>
      <c r="H331" s="6" t="n">
        <v>0</v>
      </c>
      <c r="I331" s="6" t="n">
        <v>208.28</v>
      </c>
      <c r="J331" s="6" t="n">
        <v>144.35</v>
      </c>
      <c r="K331" s="6"/>
      <c r="L331" s="6" t="n">
        <v>110</v>
      </c>
      <c r="M331" s="7" t="n">
        <v>46212.0006944445</v>
      </c>
      <c r="N331" s="6"/>
      <c r="O331" s="6" t="s">
        <v>90</v>
      </c>
      <c r="P331" s="6" t="n">
        <v>-1.84</v>
      </c>
      <c r="Q331" s="6" t="n">
        <v>0</v>
      </c>
      <c r="R331" s="6" t="s">
        <v>100</v>
      </c>
    </row>
    <row r="332" customFormat="false" ht="15" hidden="false" customHeight="false" outlineLevel="0" collapsed="false">
      <c r="A332" s="5" t="n">
        <v>46220</v>
      </c>
      <c r="B332" s="6" t="s">
        <v>50</v>
      </c>
      <c r="C332" s="6" t="s">
        <v>35</v>
      </c>
      <c r="D332" s="6" t="n">
        <v>2</v>
      </c>
      <c r="E332" s="6"/>
      <c r="F332" s="6" t="n">
        <v>110</v>
      </c>
      <c r="G332" s="6" t="n">
        <v>1.87</v>
      </c>
      <c r="H332" s="6" t="n">
        <v>1.89</v>
      </c>
      <c r="I332" s="6" t="n">
        <v>208.79</v>
      </c>
      <c r="J332" s="6" t="n">
        <v>164.8</v>
      </c>
      <c r="K332" s="6"/>
      <c r="L332" s="6" t="n">
        <v>0</v>
      </c>
      <c r="M332" s="6"/>
      <c r="N332" s="6"/>
      <c r="O332" s="6"/>
      <c r="P332" s="6" t="n">
        <v>0.0199999999999998</v>
      </c>
      <c r="Q332" s="6" t="n">
        <v>1.01069518716578</v>
      </c>
      <c r="R332" s="6" t="s">
        <v>100</v>
      </c>
    </row>
    <row r="333" customFormat="false" ht="15" hidden="false" customHeight="false" outlineLevel="0" collapsed="false">
      <c r="A333" s="5" t="n">
        <v>46220</v>
      </c>
      <c r="B333" s="6" t="s">
        <v>50</v>
      </c>
      <c r="C333" s="6" t="s">
        <v>35</v>
      </c>
      <c r="D333" s="6" t="n">
        <v>3</v>
      </c>
      <c r="E333" s="6"/>
      <c r="F333" s="6" t="n">
        <v>210</v>
      </c>
      <c r="G333" s="6" t="n">
        <v>0</v>
      </c>
      <c r="H333" s="6" t="n">
        <v>3.95</v>
      </c>
      <c r="I333" s="6" t="n">
        <v>413.05</v>
      </c>
      <c r="J333" s="6" t="n">
        <v>354.18</v>
      </c>
      <c r="K333" s="6"/>
      <c r="L333" s="6" t="n">
        <v>0</v>
      </c>
      <c r="M333" s="6"/>
      <c r="N333" s="6"/>
      <c r="O333" s="6"/>
      <c r="P333" s="6" t="n">
        <v>3.95</v>
      </c>
      <c r="Q333" s="6"/>
      <c r="R333" s="6" t="s">
        <v>100</v>
      </c>
    </row>
    <row r="334" customFormat="false" ht="15" hidden="false" customHeight="false" outlineLevel="0" collapsed="false">
      <c r="A334" s="5" t="n">
        <v>46220</v>
      </c>
      <c r="B334" s="6" t="s">
        <v>50</v>
      </c>
      <c r="C334" s="6" t="s">
        <v>35</v>
      </c>
      <c r="D334" s="6" t="n">
        <v>4</v>
      </c>
      <c r="E334" s="6" t="s">
        <v>76</v>
      </c>
      <c r="F334" s="6" t="n">
        <v>210</v>
      </c>
      <c r="G334" s="6" t="n">
        <v>0</v>
      </c>
      <c r="H334" s="6" t="n">
        <v>0.13</v>
      </c>
      <c r="I334" s="6" t="n">
        <v>294</v>
      </c>
      <c r="J334" s="6" t="n">
        <v>164.69</v>
      </c>
      <c r="K334" s="6"/>
      <c r="L334" s="6" t="n">
        <v>210</v>
      </c>
      <c r="M334" s="7" t="n">
        <v>46220.8965277778</v>
      </c>
      <c r="N334" s="6"/>
      <c r="O334" s="6" t="s">
        <v>90</v>
      </c>
      <c r="P334" s="6" t="n">
        <v>0.13</v>
      </c>
      <c r="Q334" s="6"/>
      <c r="R334" s="6" t="s">
        <v>100</v>
      </c>
    </row>
    <row r="335" customFormat="false" ht="15" hidden="false" customHeight="false" outlineLevel="0" collapsed="false">
      <c r="A335" s="5" t="n">
        <v>46220</v>
      </c>
      <c r="B335" s="6" t="s">
        <v>50</v>
      </c>
      <c r="C335" s="6" t="s">
        <v>35</v>
      </c>
      <c r="D335" s="6" t="n">
        <v>5</v>
      </c>
      <c r="E335" s="6"/>
      <c r="F335" s="6" t="n">
        <v>210</v>
      </c>
      <c r="G335" s="6" t="n">
        <v>3.81</v>
      </c>
      <c r="H335" s="6" t="n">
        <v>4.13</v>
      </c>
      <c r="I335" s="6" t="n">
        <v>426.77</v>
      </c>
      <c r="J335" s="6" t="n">
        <v>361.97</v>
      </c>
      <c r="K335" s="6"/>
      <c r="L335" s="6" t="n">
        <v>0</v>
      </c>
      <c r="M335" s="6"/>
      <c r="N335" s="6"/>
      <c r="O335" s="6"/>
      <c r="P335" s="6" t="n">
        <v>0.32</v>
      </c>
      <c r="Q335" s="6" t="n">
        <v>1.08398950131234</v>
      </c>
      <c r="R335" s="6" t="s">
        <v>100</v>
      </c>
    </row>
    <row r="336" customFormat="false" ht="15" hidden="false" customHeight="false" outlineLevel="0" collapsed="false">
      <c r="A336" s="5" t="n">
        <v>46220</v>
      </c>
      <c r="B336" s="6" t="s">
        <v>50</v>
      </c>
      <c r="C336" s="6" t="s">
        <v>35</v>
      </c>
      <c r="D336" s="6" t="n">
        <v>6</v>
      </c>
      <c r="E336" s="6"/>
      <c r="F336" s="6" t="n">
        <v>195</v>
      </c>
      <c r="G336" s="6" t="n">
        <v>3.84</v>
      </c>
      <c r="H336" s="6" t="n">
        <v>4.01</v>
      </c>
      <c r="I336" s="6" t="n">
        <v>436.28</v>
      </c>
      <c r="J336" s="6" t="n">
        <v>422.9</v>
      </c>
      <c r="K336" s="6"/>
      <c r="L336" s="6" t="n">
        <v>0</v>
      </c>
      <c r="M336" s="6"/>
      <c r="N336" s="6"/>
      <c r="O336" s="6"/>
      <c r="P336" s="6" t="n">
        <v>0.17</v>
      </c>
      <c r="Q336" s="6" t="n">
        <v>1.04427083333333</v>
      </c>
      <c r="R336" s="6" t="s">
        <v>100</v>
      </c>
    </row>
    <row r="337" customFormat="false" ht="15" hidden="false" customHeight="false" outlineLevel="0" collapsed="false">
      <c r="A337" s="5" t="n">
        <v>46220</v>
      </c>
      <c r="B337" s="6" t="s">
        <v>50</v>
      </c>
      <c r="C337" s="6" t="s">
        <v>35</v>
      </c>
      <c r="D337" s="6" t="n">
        <v>7</v>
      </c>
      <c r="E337" s="6" t="s">
        <v>79</v>
      </c>
      <c r="F337" s="6" t="n">
        <v>195</v>
      </c>
      <c r="G337" s="6" t="n">
        <v>0</v>
      </c>
      <c r="H337" s="6" t="n">
        <v>0.75</v>
      </c>
      <c r="I337" s="6" t="n">
        <v>369</v>
      </c>
      <c r="J337" s="6" t="n">
        <v>376.09</v>
      </c>
      <c r="K337" s="6"/>
      <c r="L337" s="6" t="n">
        <v>195</v>
      </c>
      <c r="M337" s="7" t="n">
        <v>46218.7986111111</v>
      </c>
      <c r="N337" s="7" t="n">
        <v>46220.78125</v>
      </c>
      <c r="O337" s="6" t="s">
        <v>98</v>
      </c>
      <c r="P337" s="6" t="n">
        <v>0.75</v>
      </c>
      <c r="Q337" s="6"/>
      <c r="R337" s="6" t="s">
        <v>100</v>
      </c>
    </row>
    <row r="338" customFormat="false" ht="15" hidden="false" customHeight="false" outlineLevel="0" collapsed="false">
      <c r="A338" s="5" t="n">
        <v>46221</v>
      </c>
      <c r="B338" s="6" t="s">
        <v>50</v>
      </c>
      <c r="C338" s="6" t="s">
        <v>5</v>
      </c>
      <c r="D338" s="6"/>
      <c r="E338" s="6"/>
      <c r="F338" s="6" t="n">
        <v>1240</v>
      </c>
      <c r="G338" s="6" t="n">
        <v>11.36</v>
      </c>
      <c r="H338" s="6" t="n">
        <v>18.54</v>
      </c>
      <c r="I338" s="6" t="n">
        <v>2367.53</v>
      </c>
      <c r="J338" s="6" t="n">
        <v>2007.52</v>
      </c>
      <c r="K338" s="6" t="n">
        <v>16</v>
      </c>
      <c r="L338" s="6" t="n">
        <v>320</v>
      </c>
      <c r="M338" s="6"/>
      <c r="N338" s="6"/>
      <c r="O338" s="6"/>
      <c r="P338" s="6" t="n">
        <v>7.18</v>
      </c>
      <c r="Q338" s="6" t="n">
        <v>1.63204225352113</v>
      </c>
      <c r="R338" s="6" t="s">
        <v>101</v>
      </c>
    </row>
    <row r="339" customFormat="false" ht="15" hidden="false" customHeight="false" outlineLevel="0" collapsed="false">
      <c r="A339" s="5" t="n">
        <v>46221</v>
      </c>
      <c r="B339" s="6" t="s">
        <v>50</v>
      </c>
      <c r="C339" s="6" t="s">
        <v>35</v>
      </c>
      <c r="D339" s="6" t="n">
        <v>1</v>
      </c>
      <c r="E339" s="6" t="s">
        <v>76</v>
      </c>
      <c r="F339" s="6" t="n">
        <v>110</v>
      </c>
      <c r="G339" s="6" t="n">
        <v>1.84</v>
      </c>
      <c r="H339" s="6" t="n">
        <v>0</v>
      </c>
      <c r="I339" s="6" t="n">
        <v>210.12</v>
      </c>
      <c r="J339" s="6" t="n">
        <v>144.35</v>
      </c>
      <c r="K339" s="6"/>
      <c r="L339" s="6" t="n">
        <v>110</v>
      </c>
      <c r="M339" s="7" t="n">
        <v>46212.0006944445</v>
      </c>
      <c r="N339" s="6"/>
      <c r="O339" s="6" t="s">
        <v>90</v>
      </c>
      <c r="P339" s="6" t="n">
        <v>-1.84</v>
      </c>
      <c r="Q339" s="6" t="n">
        <v>0</v>
      </c>
      <c r="R339" s="6" t="s">
        <v>101</v>
      </c>
    </row>
    <row r="340" customFormat="false" ht="15" hidden="false" customHeight="false" outlineLevel="0" collapsed="false">
      <c r="A340" s="5" t="n">
        <v>46221</v>
      </c>
      <c r="B340" s="6" t="s">
        <v>50</v>
      </c>
      <c r="C340" s="6" t="s">
        <v>35</v>
      </c>
      <c r="D340" s="6" t="n">
        <v>2</v>
      </c>
      <c r="E340" s="6"/>
      <c r="F340" s="6" t="n">
        <v>110</v>
      </c>
      <c r="G340" s="6" t="n">
        <v>1.87</v>
      </c>
      <c r="H340" s="6" t="n">
        <v>1.84</v>
      </c>
      <c r="I340" s="6" t="n">
        <v>210.66</v>
      </c>
      <c r="J340" s="6" t="n">
        <v>166.64</v>
      </c>
      <c r="K340" s="6"/>
      <c r="L340" s="6" t="n">
        <v>0</v>
      </c>
      <c r="M340" s="6"/>
      <c r="N340" s="6"/>
      <c r="O340" s="6"/>
      <c r="P340" s="6" t="n">
        <v>-0.03</v>
      </c>
      <c r="Q340" s="6" t="n">
        <v>0.983957219251337</v>
      </c>
      <c r="R340" s="6" t="s">
        <v>101</v>
      </c>
    </row>
    <row r="341" customFormat="false" ht="15" hidden="false" customHeight="false" outlineLevel="0" collapsed="false">
      <c r="A341" s="5" t="n">
        <v>46221</v>
      </c>
      <c r="B341" s="6" t="s">
        <v>50</v>
      </c>
      <c r="C341" s="6" t="s">
        <v>35</v>
      </c>
      <c r="D341" s="6" t="n">
        <v>3</v>
      </c>
      <c r="E341" s="6"/>
      <c r="F341" s="6" t="n">
        <v>210</v>
      </c>
      <c r="G341" s="6" t="n">
        <v>0</v>
      </c>
      <c r="H341" s="6" t="n">
        <v>3.84</v>
      </c>
      <c r="I341" s="6" t="n">
        <v>413.05</v>
      </c>
      <c r="J341" s="6" t="n">
        <v>358.02</v>
      </c>
      <c r="K341" s="6"/>
      <c r="L341" s="6" t="n">
        <v>0</v>
      </c>
      <c r="M341" s="6"/>
      <c r="N341" s="6"/>
      <c r="O341" s="6"/>
      <c r="P341" s="6" t="n">
        <v>3.84</v>
      </c>
      <c r="Q341" s="6"/>
      <c r="R341" s="6" t="s">
        <v>101</v>
      </c>
    </row>
    <row r="342" customFormat="false" ht="15" hidden="false" customHeight="false" outlineLevel="0" collapsed="false">
      <c r="A342" s="5" t="n">
        <v>46221</v>
      </c>
      <c r="B342" s="6" t="s">
        <v>50</v>
      </c>
      <c r="C342" s="6" t="s">
        <v>35</v>
      </c>
      <c r="D342" s="6" t="n">
        <v>4</v>
      </c>
      <c r="E342" s="6" t="s">
        <v>76</v>
      </c>
      <c r="F342" s="6" t="n">
        <v>210</v>
      </c>
      <c r="G342" s="6" t="n">
        <v>0</v>
      </c>
      <c r="H342" s="6" t="n">
        <v>0.16</v>
      </c>
      <c r="I342" s="6" t="n">
        <v>294</v>
      </c>
      <c r="J342" s="6" t="n">
        <v>164.85</v>
      </c>
      <c r="K342" s="6"/>
      <c r="L342" s="6" t="n">
        <v>210</v>
      </c>
      <c r="M342" s="7" t="n">
        <v>46221.4180555556</v>
      </c>
      <c r="N342" s="6"/>
      <c r="O342" s="6" t="s">
        <v>102</v>
      </c>
      <c r="P342" s="6" t="n">
        <v>0.16</v>
      </c>
      <c r="Q342" s="6"/>
      <c r="R342" s="6" t="s">
        <v>101</v>
      </c>
    </row>
    <row r="343" customFormat="false" ht="15" hidden="false" customHeight="false" outlineLevel="0" collapsed="false">
      <c r="A343" s="5" t="n">
        <v>46221</v>
      </c>
      <c r="B343" s="6" t="s">
        <v>50</v>
      </c>
      <c r="C343" s="6" t="s">
        <v>35</v>
      </c>
      <c r="D343" s="6" t="n">
        <v>5</v>
      </c>
      <c r="E343" s="6"/>
      <c r="F343" s="6" t="n">
        <v>210</v>
      </c>
      <c r="G343" s="6" t="n">
        <v>3.81</v>
      </c>
      <c r="H343" s="6" t="n">
        <v>4.26</v>
      </c>
      <c r="I343" s="6" t="n">
        <v>430.58</v>
      </c>
      <c r="J343" s="6" t="n">
        <v>366.23</v>
      </c>
      <c r="K343" s="6"/>
      <c r="L343" s="6" t="n">
        <v>0</v>
      </c>
      <c r="M343" s="6"/>
      <c r="N343" s="6"/>
      <c r="O343" s="6"/>
      <c r="P343" s="6" t="n">
        <v>0.45</v>
      </c>
      <c r="Q343" s="6" t="n">
        <v>1.11811023622047</v>
      </c>
      <c r="R343" s="6" t="s">
        <v>101</v>
      </c>
    </row>
    <row r="344" customFormat="false" ht="15" hidden="false" customHeight="false" outlineLevel="0" collapsed="false">
      <c r="A344" s="5" t="n">
        <v>46221</v>
      </c>
      <c r="B344" s="6" t="s">
        <v>50</v>
      </c>
      <c r="C344" s="6" t="s">
        <v>35</v>
      </c>
      <c r="D344" s="6" t="n">
        <v>6</v>
      </c>
      <c r="E344" s="6"/>
      <c r="F344" s="6" t="n">
        <v>195</v>
      </c>
      <c r="G344" s="6" t="n">
        <v>3.84</v>
      </c>
      <c r="H344" s="6" t="n">
        <v>4</v>
      </c>
      <c r="I344" s="6" t="n">
        <v>440.12</v>
      </c>
      <c r="J344" s="6" t="n">
        <v>426.9</v>
      </c>
      <c r="K344" s="6"/>
      <c r="L344" s="6" t="n">
        <v>0</v>
      </c>
      <c r="M344" s="6"/>
      <c r="N344" s="6"/>
      <c r="O344" s="6"/>
      <c r="P344" s="6" t="n">
        <v>0.16</v>
      </c>
      <c r="Q344" s="6" t="n">
        <v>1.04166666666667</v>
      </c>
      <c r="R344" s="6" t="s">
        <v>101</v>
      </c>
    </row>
    <row r="345" customFormat="false" ht="15" hidden="false" customHeight="false" outlineLevel="0" collapsed="false">
      <c r="A345" s="5" t="n">
        <v>46221</v>
      </c>
      <c r="B345" s="6" t="s">
        <v>50</v>
      </c>
      <c r="C345" s="6" t="s">
        <v>35</v>
      </c>
      <c r="D345" s="6" t="n">
        <v>7</v>
      </c>
      <c r="E345" s="6"/>
      <c r="F345" s="6" t="n">
        <v>195</v>
      </c>
      <c r="G345" s="6" t="n">
        <v>0</v>
      </c>
      <c r="H345" s="6" t="n">
        <v>4.44</v>
      </c>
      <c r="I345" s="6" t="n">
        <v>369</v>
      </c>
      <c r="J345" s="6" t="n">
        <v>380.53</v>
      </c>
      <c r="K345" s="6"/>
      <c r="L345" s="6" t="n">
        <v>0</v>
      </c>
      <c r="M345" s="6"/>
      <c r="N345" s="6"/>
      <c r="O345" s="6"/>
      <c r="P345" s="6" t="n">
        <v>4.44</v>
      </c>
      <c r="Q345" s="6"/>
      <c r="R345" s="6" t="s">
        <v>101</v>
      </c>
    </row>
    <row r="346" customFormat="false" ht="15" hidden="false" customHeight="false" outlineLevel="0" collapsed="false">
      <c r="A346" s="5" t="n">
        <v>46222</v>
      </c>
      <c r="B346" s="6" t="s">
        <v>50</v>
      </c>
      <c r="C346" s="6" t="s">
        <v>5</v>
      </c>
      <c r="D346" s="6"/>
      <c r="E346" s="6"/>
      <c r="F346" s="6" t="n">
        <v>1240</v>
      </c>
      <c r="G346" s="6" t="n">
        <v>11.36</v>
      </c>
      <c r="H346" s="6" t="n">
        <v>18.2</v>
      </c>
      <c r="I346" s="6" t="n">
        <v>2378.89</v>
      </c>
      <c r="J346" s="6" t="n">
        <v>2025.72</v>
      </c>
      <c r="K346" s="6" t="n">
        <v>15</v>
      </c>
      <c r="L346" s="6" t="n">
        <v>320</v>
      </c>
      <c r="M346" s="6"/>
      <c r="N346" s="6"/>
      <c r="O346" s="6"/>
      <c r="P346" s="6" t="n">
        <v>6.84</v>
      </c>
      <c r="Q346" s="6" t="n">
        <v>1.60211267605634</v>
      </c>
      <c r="R346" s="6" t="s">
        <v>103</v>
      </c>
    </row>
    <row r="347" customFormat="false" ht="15" hidden="false" customHeight="false" outlineLevel="0" collapsed="false">
      <c r="A347" s="5" t="n">
        <v>46222</v>
      </c>
      <c r="B347" s="6" t="s">
        <v>50</v>
      </c>
      <c r="C347" s="6" t="s">
        <v>35</v>
      </c>
      <c r="D347" s="6" t="n">
        <v>1</v>
      </c>
      <c r="E347" s="6" t="s">
        <v>76</v>
      </c>
      <c r="F347" s="6" t="n">
        <v>110</v>
      </c>
      <c r="G347" s="6" t="n">
        <v>1.84</v>
      </c>
      <c r="H347" s="6" t="n">
        <v>0</v>
      </c>
      <c r="I347" s="6" t="n">
        <v>211.96</v>
      </c>
      <c r="J347" s="6" t="n">
        <v>144.35</v>
      </c>
      <c r="K347" s="6"/>
      <c r="L347" s="6" t="n">
        <v>110</v>
      </c>
      <c r="M347" s="7" t="n">
        <v>46212.0006944445</v>
      </c>
      <c r="N347" s="6"/>
      <c r="O347" s="6" t="s">
        <v>90</v>
      </c>
      <c r="P347" s="6" t="n">
        <v>-1.84</v>
      </c>
      <c r="Q347" s="6" t="n">
        <v>0</v>
      </c>
      <c r="R347" s="6" t="s">
        <v>103</v>
      </c>
    </row>
    <row r="348" customFormat="false" ht="15" hidden="false" customHeight="false" outlineLevel="0" collapsed="false">
      <c r="A348" s="5" t="n">
        <v>46222</v>
      </c>
      <c r="B348" s="6" t="s">
        <v>50</v>
      </c>
      <c r="C348" s="6" t="s">
        <v>35</v>
      </c>
      <c r="D348" s="6" t="n">
        <v>2</v>
      </c>
      <c r="E348" s="6"/>
      <c r="F348" s="6" t="n">
        <v>110</v>
      </c>
      <c r="G348" s="6" t="n">
        <v>1.87</v>
      </c>
      <c r="H348" s="6" t="n">
        <v>1.79</v>
      </c>
      <c r="I348" s="6" t="n">
        <v>212.53</v>
      </c>
      <c r="J348" s="6" t="n">
        <v>168.43</v>
      </c>
      <c r="K348" s="6"/>
      <c r="L348" s="6" t="n">
        <v>0</v>
      </c>
      <c r="M348" s="6"/>
      <c r="N348" s="6"/>
      <c r="O348" s="6"/>
      <c r="P348" s="6" t="n">
        <v>-0.0800000000000001</v>
      </c>
      <c r="Q348" s="6" t="n">
        <v>0.957219251336898</v>
      </c>
      <c r="R348" s="6" t="s">
        <v>103</v>
      </c>
    </row>
    <row r="349" customFormat="false" ht="15" hidden="false" customHeight="false" outlineLevel="0" collapsed="false">
      <c r="A349" s="5" t="n">
        <v>46222</v>
      </c>
      <c r="B349" s="6" t="s">
        <v>50</v>
      </c>
      <c r="C349" s="6" t="s">
        <v>35</v>
      </c>
      <c r="D349" s="6" t="n">
        <v>3</v>
      </c>
      <c r="E349" s="6"/>
      <c r="F349" s="6" t="n">
        <v>210</v>
      </c>
      <c r="G349" s="6" t="n">
        <v>0</v>
      </c>
      <c r="H349" s="6" t="n">
        <v>3.86</v>
      </c>
      <c r="I349" s="6" t="n">
        <v>413.05</v>
      </c>
      <c r="J349" s="6" t="n">
        <v>361.88</v>
      </c>
      <c r="K349" s="6"/>
      <c r="L349" s="6" t="n">
        <v>0</v>
      </c>
      <c r="M349" s="6"/>
      <c r="N349" s="6"/>
      <c r="O349" s="6"/>
      <c r="P349" s="6" t="n">
        <v>3.86</v>
      </c>
      <c r="Q349" s="6"/>
      <c r="R349" s="6" t="s">
        <v>103</v>
      </c>
    </row>
    <row r="350" customFormat="false" ht="15" hidden="false" customHeight="false" outlineLevel="0" collapsed="false">
      <c r="A350" s="5" t="n">
        <v>46222</v>
      </c>
      <c r="B350" s="6" t="s">
        <v>50</v>
      </c>
      <c r="C350" s="6" t="s">
        <v>35</v>
      </c>
      <c r="D350" s="6" t="n">
        <v>4</v>
      </c>
      <c r="E350" s="6" t="s">
        <v>79</v>
      </c>
      <c r="F350" s="6" t="n">
        <v>210</v>
      </c>
      <c r="G350" s="6" t="n">
        <v>0</v>
      </c>
      <c r="H350" s="6" t="n">
        <v>0.06</v>
      </c>
      <c r="I350" s="6" t="n">
        <v>294</v>
      </c>
      <c r="J350" s="6" t="n">
        <v>164.91</v>
      </c>
      <c r="K350" s="6"/>
      <c r="L350" s="6" t="n">
        <v>210</v>
      </c>
      <c r="M350" s="7" t="n">
        <v>46221.4180555556</v>
      </c>
      <c r="N350" s="7" t="n">
        <v>46222.9576388889</v>
      </c>
      <c r="O350" s="6" t="s">
        <v>102</v>
      </c>
      <c r="P350" s="6" t="n">
        <v>0.06</v>
      </c>
      <c r="Q350" s="6"/>
      <c r="R350" s="6" t="s">
        <v>103</v>
      </c>
    </row>
    <row r="351" customFormat="false" ht="15" hidden="false" customHeight="false" outlineLevel="0" collapsed="false">
      <c r="A351" s="5" t="n">
        <v>46222</v>
      </c>
      <c r="B351" s="6" t="s">
        <v>50</v>
      </c>
      <c r="C351" s="6" t="s">
        <v>35</v>
      </c>
      <c r="D351" s="6" t="n">
        <v>5</v>
      </c>
      <c r="E351" s="6"/>
      <c r="F351" s="6" t="n">
        <v>210</v>
      </c>
      <c r="G351" s="6" t="n">
        <v>3.81</v>
      </c>
      <c r="H351" s="6" t="n">
        <v>4.2</v>
      </c>
      <c r="I351" s="6" t="n">
        <v>434.39</v>
      </c>
      <c r="J351" s="6" t="n">
        <v>370.43</v>
      </c>
      <c r="K351" s="6"/>
      <c r="L351" s="6" t="n">
        <v>0</v>
      </c>
      <c r="M351" s="6"/>
      <c r="N351" s="6"/>
      <c r="O351" s="6"/>
      <c r="P351" s="6" t="n">
        <v>0.39</v>
      </c>
      <c r="Q351" s="6" t="n">
        <v>1.10236220472441</v>
      </c>
      <c r="R351" s="6" t="s">
        <v>103</v>
      </c>
    </row>
    <row r="352" customFormat="false" ht="15" hidden="false" customHeight="false" outlineLevel="0" collapsed="false">
      <c r="A352" s="5" t="n">
        <v>46222</v>
      </c>
      <c r="B352" s="6" t="s">
        <v>50</v>
      </c>
      <c r="C352" s="6" t="s">
        <v>35</v>
      </c>
      <c r="D352" s="6" t="n">
        <v>6</v>
      </c>
      <c r="E352" s="6"/>
      <c r="F352" s="6" t="n">
        <v>195</v>
      </c>
      <c r="G352" s="6" t="n">
        <v>3.84</v>
      </c>
      <c r="H352" s="6" t="n">
        <v>3.96</v>
      </c>
      <c r="I352" s="6" t="n">
        <v>443.96</v>
      </c>
      <c r="J352" s="6" t="n">
        <v>430.86</v>
      </c>
      <c r="K352" s="6"/>
      <c r="L352" s="6" t="n">
        <v>0</v>
      </c>
      <c r="M352" s="6"/>
      <c r="N352" s="6"/>
      <c r="O352" s="6"/>
      <c r="P352" s="6" t="n">
        <v>0.12</v>
      </c>
      <c r="Q352" s="6" t="n">
        <v>1.03125</v>
      </c>
      <c r="R352" s="6" t="s">
        <v>103</v>
      </c>
    </row>
    <row r="353" customFormat="false" ht="15" hidden="false" customHeight="false" outlineLevel="0" collapsed="false">
      <c r="A353" s="5" t="n">
        <v>46222</v>
      </c>
      <c r="B353" s="6" t="s">
        <v>50</v>
      </c>
      <c r="C353" s="6" t="s">
        <v>35</v>
      </c>
      <c r="D353" s="6" t="n">
        <v>7</v>
      </c>
      <c r="E353" s="6"/>
      <c r="F353" s="6" t="n">
        <v>195</v>
      </c>
      <c r="G353" s="6" t="n">
        <v>0</v>
      </c>
      <c r="H353" s="6" t="n">
        <v>4.33</v>
      </c>
      <c r="I353" s="6" t="n">
        <v>369</v>
      </c>
      <c r="J353" s="6" t="n">
        <v>384.86</v>
      </c>
      <c r="K353" s="6"/>
      <c r="L353" s="6" t="n">
        <v>0</v>
      </c>
      <c r="M353" s="6"/>
      <c r="N353" s="6"/>
      <c r="O353" s="6"/>
      <c r="P353" s="6" t="n">
        <v>4.33</v>
      </c>
      <c r="Q353" s="6"/>
      <c r="R353" s="6" t="s">
        <v>103</v>
      </c>
    </row>
    <row r="354" customFormat="false" ht="15" hidden="false" customHeight="false" outlineLevel="0" collapsed="false">
      <c r="A354" s="5" t="n">
        <v>46223</v>
      </c>
      <c r="B354" s="6" t="s">
        <v>50</v>
      </c>
      <c r="C354" s="6" t="s">
        <v>5</v>
      </c>
      <c r="D354" s="6"/>
      <c r="E354" s="6"/>
      <c r="F354" s="6" t="n">
        <v>1240</v>
      </c>
      <c r="G354" s="6" t="n">
        <v>11.36</v>
      </c>
      <c r="H354" s="6" t="n">
        <v>18.24</v>
      </c>
      <c r="I354" s="6" t="n">
        <v>2390.25</v>
      </c>
      <c r="J354" s="6" t="n">
        <v>2043.96</v>
      </c>
      <c r="K354" s="6" t="n">
        <v>15</v>
      </c>
      <c r="L354" s="6" t="n">
        <v>320</v>
      </c>
      <c r="M354" s="6"/>
      <c r="N354" s="6"/>
      <c r="O354" s="6"/>
      <c r="P354" s="6" t="n">
        <v>6.88</v>
      </c>
      <c r="Q354" s="6" t="n">
        <v>1.6056338028169</v>
      </c>
      <c r="R354" s="6" t="s">
        <v>104</v>
      </c>
    </row>
    <row r="355" customFormat="false" ht="15" hidden="false" customHeight="false" outlineLevel="0" collapsed="false">
      <c r="A355" s="5" t="n">
        <v>46223</v>
      </c>
      <c r="B355" s="6" t="s">
        <v>50</v>
      </c>
      <c r="C355" s="6" t="s">
        <v>35</v>
      </c>
      <c r="D355" s="6" t="n">
        <v>1</v>
      </c>
      <c r="E355" s="6" t="s">
        <v>76</v>
      </c>
      <c r="F355" s="6" t="n">
        <v>110</v>
      </c>
      <c r="G355" s="6" t="n">
        <v>1.84</v>
      </c>
      <c r="H355" s="6" t="n">
        <v>0</v>
      </c>
      <c r="I355" s="6" t="n">
        <v>213.8</v>
      </c>
      <c r="J355" s="6" t="n">
        <v>144.35</v>
      </c>
      <c r="K355" s="6"/>
      <c r="L355" s="6" t="n">
        <v>110</v>
      </c>
      <c r="M355" s="7" t="n">
        <v>46212.0006944445</v>
      </c>
      <c r="N355" s="6"/>
      <c r="O355" s="6" t="s">
        <v>90</v>
      </c>
      <c r="P355" s="6" t="n">
        <v>-1.84</v>
      </c>
      <c r="Q355" s="6" t="n">
        <v>0</v>
      </c>
      <c r="R355" s="6" t="s">
        <v>104</v>
      </c>
    </row>
    <row r="356" customFormat="false" ht="15" hidden="false" customHeight="false" outlineLevel="0" collapsed="false">
      <c r="A356" s="5" t="n">
        <v>46223</v>
      </c>
      <c r="B356" s="6" t="s">
        <v>50</v>
      </c>
      <c r="C356" s="6" t="s">
        <v>35</v>
      </c>
      <c r="D356" s="6" t="n">
        <v>2</v>
      </c>
      <c r="E356" s="6"/>
      <c r="F356" s="6" t="n">
        <v>110</v>
      </c>
      <c r="G356" s="6" t="n">
        <v>1.87</v>
      </c>
      <c r="H356" s="6" t="n">
        <v>1.83</v>
      </c>
      <c r="I356" s="6" t="n">
        <v>214.4</v>
      </c>
      <c r="J356" s="6" t="n">
        <v>170.26</v>
      </c>
      <c r="K356" s="6"/>
      <c r="L356" s="6" t="n">
        <v>0</v>
      </c>
      <c r="M356" s="6"/>
      <c r="N356" s="6"/>
      <c r="O356" s="6"/>
      <c r="P356" s="6" t="n">
        <v>-0.04</v>
      </c>
      <c r="Q356" s="6" t="n">
        <v>0.978609625668449</v>
      </c>
      <c r="R356" s="6" t="s">
        <v>104</v>
      </c>
    </row>
    <row r="357" customFormat="false" ht="15" hidden="false" customHeight="false" outlineLevel="0" collapsed="false">
      <c r="A357" s="5" t="n">
        <v>46223</v>
      </c>
      <c r="B357" s="6" t="s">
        <v>50</v>
      </c>
      <c r="C357" s="6" t="s">
        <v>35</v>
      </c>
      <c r="D357" s="6" t="n">
        <v>3</v>
      </c>
      <c r="E357" s="6"/>
      <c r="F357" s="6" t="n">
        <v>210</v>
      </c>
      <c r="G357" s="6" t="n">
        <v>0</v>
      </c>
      <c r="H357" s="6" t="n">
        <v>3.83</v>
      </c>
      <c r="I357" s="6" t="n">
        <v>413.05</v>
      </c>
      <c r="J357" s="6" t="n">
        <v>365.71</v>
      </c>
      <c r="K357" s="6"/>
      <c r="L357" s="6" t="n">
        <v>0</v>
      </c>
      <c r="M357" s="6"/>
      <c r="N357" s="6"/>
      <c r="O357" s="6"/>
      <c r="P357" s="6" t="n">
        <v>3.83</v>
      </c>
      <c r="Q357" s="6"/>
      <c r="R357" s="6" t="s">
        <v>104</v>
      </c>
    </row>
    <row r="358" customFormat="false" ht="15" hidden="false" customHeight="false" outlineLevel="0" collapsed="false">
      <c r="A358" s="5" t="n">
        <v>46223</v>
      </c>
      <c r="B358" s="6" t="s">
        <v>50</v>
      </c>
      <c r="C358" s="6" t="s">
        <v>35</v>
      </c>
      <c r="D358" s="6" t="n">
        <v>4</v>
      </c>
      <c r="E358" s="6" t="s">
        <v>76</v>
      </c>
      <c r="F358" s="6" t="n">
        <v>210</v>
      </c>
      <c r="G358" s="6" t="n">
        <v>0</v>
      </c>
      <c r="H358" s="6" t="n">
        <v>0.08</v>
      </c>
      <c r="I358" s="6" t="n">
        <v>294</v>
      </c>
      <c r="J358" s="6" t="n">
        <v>164.99</v>
      </c>
      <c r="K358" s="6"/>
      <c r="L358" s="6" t="n">
        <v>210</v>
      </c>
      <c r="M358" s="7" t="n">
        <v>46223.0479166667</v>
      </c>
      <c r="N358" s="6"/>
      <c r="O358" s="6" t="s">
        <v>102</v>
      </c>
      <c r="P358" s="6" t="n">
        <v>0.08</v>
      </c>
      <c r="Q358" s="6"/>
      <c r="R358" s="6" t="s">
        <v>104</v>
      </c>
    </row>
    <row r="359" customFormat="false" ht="15" hidden="false" customHeight="false" outlineLevel="0" collapsed="false">
      <c r="A359" s="5" t="n">
        <v>46223</v>
      </c>
      <c r="B359" s="6" t="s">
        <v>50</v>
      </c>
      <c r="C359" s="6" t="s">
        <v>35</v>
      </c>
      <c r="D359" s="6" t="n">
        <v>5</v>
      </c>
      <c r="E359" s="6"/>
      <c r="F359" s="6" t="n">
        <v>210</v>
      </c>
      <c r="G359" s="6" t="n">
        <v>3.81</v>
      </c>
      <c r="H359" s="6" t="n">
        <v>4.17</v>
      </c>
      <c r="I359" s="6" t="n">
        <v>438.2</v>
      </c>
      <c r="J359" s="6" t="n">
        <v>374.6</v>
      </c>
      <c r="K359" s="6"/>
      <c r="L359" s="6" t="n">
        <v>0</v>
      </c>
      <c r="M359" s="6"/>
      <c r="N359" s="6"/>
      <c r="O359" s="6"/>
      <c r="P359" s="6" t="n">
        <v>0.36</v>
      </c>
      <c r="Q359" s="6" t="n">
        <v>1.09448818897638</v>
      </c>
      <c r="R359" s="6" t="s">
        <v>104</v>
      </c>
    </row>
    <row r="360" customFormat="false" ht="15" hidden="false" customHeight="false" outlineLevel="0" collapsed="false">
      <c r="A360" s="5" t="n">
        <v>46223</v>
      </c>
      <c r="B360" s="6" t="s">
        <v>50</v>
      </c>
      <c r="C360" s="6" t="s">
        <v>35</v>
      </c>
      <c r="D360" s="6" t="n">
        <v>6</v>
      </c>
      <c r="E360" s="6"/>
      <c r="F360" s="6" t="n">
        <v>195</v>
      </c>
      <c r="G360" s="6" t="n">
        <v>3.84</v>
      </c>
      <c r="H360" s="6" t="n">
        <v>3.98</v>
      </c>
      <c r="I360" s="6" t="n">
        <v>447.8</v>
      </c>
      <c r="J360" s="6" t="n">
        <v>434.84</v>
      </c>
      <c r="K360" s="6"/>
      <c r="L360" s="6" t="n">
        <v>0</v>
      </c>
      <c r="M360" s="6"/>
      <c r="N360" s="6"/>
      <c r="O360" s="6"/>
      <c r="P360" s="6" t="n">
        <v>0.14</v>
      </c>
      <c r="Q360" s="6" t="n">
        <v>1.03645833333333</v>
      </c>
      <c r="R360" s="6" t="s">
        <v>104</v>
      </c>
    </row>
    <row r="361" customFormat="false" ht="15" hidden="false" customHeight="false" outlineLevel="0" collapsed="false">
      <c r="A361" s="5" t="n">
        <v>46223</v>
      </c>
      <c r="B361" s="6" t="s">
        <v>50</v>
      </c>
      <c r="C361" s="6" t="s">
        <v>35</v>
      </c>
      <c r="D361" s="6" t="n">
        <v>7</v>
      </c>
      <c r="E361" s="6"/>
      <c r="F361" s="6" t="n">
        <v>195</v>
      </c>
      <c r="G361" s="6" t="n">
        <v>0</v>
      </c>
      <c r="H361" s="6" t="n">
        <v>4.35</v>
      </c>
      <c r="I361" s="6" t="n">
        <v>369</v>
      </c>
      <c r="J361" s="6" t="n">
        <v>389.21</v>
      </c>
      <c r="K361" s="6"/>
      <c r="L361" s="6" t="n">
        <v>0</v>
      </c>
      <c r="M361" s="6"/>
      <c r="N361" s="6"/>
      <c r="O361" s="6"/>
      <c r="P361" s="6" t="n">
        <v>4.35</v>
      </c>
      <c r="Q361" s="6"/>
      <c r="R361" s="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10" min="9" style="0" width="21"/>
    <col collapsed="false" customWidth="true" hidden="false" outlineLevel="0" max="11" min="11" style="0" width="28"/>
    <col collapsed="false" customWidth="true" hidden="false" outlineLevel="0" max="12" min="12" style="0" width="17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6"/>
    <col collapsed="false" customWidth="true" hidden="false" outlineLevel="0" max="17" min="16" style="0" width="17"/>
    <col collapsed="false" customWidth="true" hidden="false" outlineLevel="0" max="18" min="18" style="0" width="19"/>
    <col collapsed="false" customWidth="true" hidden="false" outlineLevel="0" max="19" min="19" style="0" width="18"/>
    <col collapsed="false" customWidth="true" hidden="false" outlineLevel="0" max="23" min="20" style="0" width="28"/>
  </cols>
  <sheetData>
    <row r="1" customFormat="false" ht="30" hidden="false" customHeight="true" outlineLevel="0" collapsed="false">
      <c r="A1" s="4" t="s">
        <v>32</v>
      </c>
      <c r="B1" s="4" t="s">
        <v>35</v>
      </c>
      <c r="C1" s="4" t="s">
        <v>105</v>
      </c>
      <c r="D1" s="4" t="s">
        <v>36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4" t="s">
        <v>111</v>
      </c>
      <c r="K1" s="4" t="s">
        <v>46</v>
      </c>
      <c r="L1" s="4" t="s">
        <v>112</v>
      </c>
      <c r="M1" s="4" t="s">
        <v>113</v>
      </c>
      <c r="N1" s="4" t="s">
        <v>114</v>
      </c>
      <c r="O1" s="4" t="s">
        <v>115</v>
      </c>
      <c r="P1" s="4" t="s">
        <v>116</v>
      </c>
      <c r="Q1" s="4" t="s">
        <v>117</v>
      </c>
      <c r="R1" s="4" t="s">
        <v>118</v>
      </c>
      <c r="S1" s="4" t="s">
        <v>119</v>
      </c>
      <c r="T1" s="4" t="s">
        <v>120</v>
      </c>
      <c r="U1" s="4" t="s">
        <v>121</v>
      </c>
      <c r="V1" s="4" t="s">
        <v>122</v>
      </c>
      <c r="W1" s="4" t="s">
        <v>123</v>
      </c>
    </row>
    <row r="2" customFormat="false" ht="15" hidden="false" customHeight="false" outlineLevel="0" collapsed="false">
      <c r="A2" s="8" t="n">
        <v>46179</v>
      </c>
      <c r="B2" s="9" t="n">
        <v>1</v>
      </c>
      <c r="C2" s="9" t="str">
        <f aca="false">"Unit "&amp;B2</f>
        <v>Unit 1</v>
      </c>
      <c r="D2" s="9"/>
      <c r="E2" s="9" t="n">
        <v>110</v>
      </c>
      <c r="F2" s="9" t="n">
        <v>1.93</v>
      </c>
      <c r="G2" s="9" t="n">
        <v>1.62</v>
      </c>
      <c r="H2" s="9" t="n">
        <v>0</v>
      </c>
      <c r="I2" s="9"/>
      <c r="J2" s="9"/>
      <c r="K2" s="9"/>
      <c r="L2" s="9" t="n">
        <f aca="false">E2*24/1000</f>
        <v>2.64</v>
      </c>
      <c r="M2" s="10" t="n">
        <f aca="false">G2/L2</f>
        <v>0.613636363636364</v>
      </c>
      <c r="N2" s="9" t="n">
        <f aca="false">G2-F2</f>
        <v>-0.31</v>
      </c>
      <c r="O2" s="10" t="n">
        <f aca="false">IF(F2=0,"",G2/F2)</f>
        <v>0.839378238341969</v>
      </c>
      <c r="P2" s="9" t="n">
        <f aca="false">IF(H2&gt;0,1,0)</f>
        <v>0</v>
      </c>
      <c r="Q2" s="9" t="n">
        <f aca="false">IF(G2=0,1,0)</f>
        <v>0</v>
      </c>
      <c r="R2" s="9" t="str">
        <f aca="false">TEXT(A2,"mmm")</f>
        <v>Jun</v>
      </c>
      <c r="S2" s="9" t="n">
        <f aca="false">WEEKNUM(A2,2)</f>
        <v>23</v>
      </c>
      <c r="T2" s="9" t="str">
        <f aca="false">IF(A2&lt;DATE(2026,6,30),"1-Pre-outage",IF(A2&lt;DATE(2026,7,5),"2-Transition","3-Outage-heavy"))</f>
        <v>1-Pre-outage</v>
      </c>
      <c r="U2" s="9" t="str">
        <f aca="false">IF(K2="","",IF(ISNUMBER(SEARCH("TURBINE",K2)),"Turbine",IF(ISNUMBER(SEARCH("GENERATOR",K2)),"Generator",IF(ISNUMBER(SEARCH("BOILER",K2)),"Boiler",IF(ISNUMBER(SEARCH("AIR PREHEATER",K2)),"Auxiliary",IF(ISNUMBER(SEARCH("ELECTRICAL",K2)),"Electrical","Other"))))))</f>
        <v/>
      </c>
      <c r="V2" s="9" t="n">
        <f aca="false">AVERAGEIFS(G:G,B:B,B2,H:H,0)</f>
        <v>1.61181818181818</v>
      </c>
      <c r="W2" s="9" t="n">
        <f aca="false">IF(P2=1,MAX(0,V2-G2),0)</f>
        <v>0</v>
      </c>
    </row>
    <row r="3" customFormat="false" ht="15" hidden="false" customHeight="false" outlineLevel="0" collapsed="false">
      <c r="A3" s="8" t="n">
        <v>46179</v>
      </c>
      <c r="B3" s="9" t="n">
        <v>2</v>
      </c>
      <c r="C3" s="9" t="str">
        <f aca="false">"Unit "&amp;B3</f>
        <v>Unit 2</v>
      </c>
      <c r="D3" s="9"/>
      <c r="E3" s="9" t="n">
        <v>110</v>
      </c>
      <c r="F3" s="9" t="n">
        <v>1.93</v>
      </c>
      <c r="G3" s="9" t="n">
        <v>1.66</v>
      </c>
      <c r="H3" s="9" t="n">
        <v>0</v>
      </c>
      <c r="I3" s="9"/>
      <c r="J3" s="9"/>
      <c r="K3" s="9"/>
      <c r="L3" s="9" t="n">
        <f aca="false">E3*24/1000</f>
        <v>2.64</v>
      </c>
      <c r="M3" s="10" t="n">
        <f aca="false">G3/L3</f>
        <v>0.628787878787879</v>
      </c>
      <c r="N3" s="9" t="n">
        <f aca="false">G3-F3</f>
        <v>-0.27</v>
      </c>
      <c r="O3" s="10" t="n">
        <f aca="false">IF(F3=0,"",G3/F3)</f>
        <v>0.860103626943005</v>
      </c>
      <c r="P3" s="9" t="n">
        <f aca="false">IF(H3&gt;0,1,0)</f>
        <v>0</v>
      </c>
      <c r="Q3" s="9" t="n">
        <f aca="false">IF(G3=0,1,0)</f>
        <v>0</v>
      </c>
      <c r="R3" s="9" t="str">
        <f aca="false">TEXT(A3,"mmm")</f>
        <v>Jun</v>
      </c>
      <c r="S3" s="9" t="n">
        <f aca="false">WEEKNUM(A3,2)</f>
        <v>23</v>
      </c>
      <c r="T3" s="9" t="str">
        <f aca="false">IF(A3&lt;DATE(2026,6,30),"1-Pre-outage",IF(A3&lt;DATE(2026,7,5),"2-Transition","3-Outage-heavy"))</f>
        <v>1-Pre-outage</v>
      </c>
      <c r="U3" s="9" t="str">
        <f aca="false">IF(K3="","",IF(ISNUMBER(SEARCH("TURBINE",K3)),"Turbine",IF(ISNUMBER(SEARCH("GENERATOR",K3)),"Generator",IF(ISNUMBER(SEARCH("BOILER",K3)),"Boiler",IF(ISNUMBER(SEARCH("AIR PREHEATER",K3)),"Auxiliary",IF(ISNUMBER(SEARCH("ELECTRICAL",K3)),"Electrical","Other"))))))</f>
        <v/>
      </c>
      <c r="V3" s="9" t="n">
        <f aca="false">AVERAGEIFS(G:G,B:B,B3,H:H,0)</f>
        <v>1.67955555555556</v>
      </c>
      <c r="W3" s="9" t="n">
        <f aca="false">IF(P3=1,MAX(0,V3-G3),0)</f>
        <v>0</v>
      </c>
    </row>
    <row r="4" customFormat="false" ht="15" hidden="false" customHeight="false" outlineLevel="0" collapsed="false">
      <c r="A4" s="8" t="n">
        <v>46179</v>
      </c>
      <c r="B4" s="9" t="n">
        <v>3</v>
      </c>
      <c r="C4" s="9" t="str">
        <f aca="false">"Unit "&amp;B4</f>
        <v>Unit 3</v>
      </c>
      <c r="D4" s="9"/>
      <c r="E4" s="9" t="n">
        <v>210</v>
      </c>
      <c r="F4" s="9" t="n">
        <v>3.9</v>
      </c>
      <c r="G4" s="9" t="n">
        <v>3.67</v>
      </c>
      <c r="H4" s="9" t="n">
        <v>0</v>
      </c>
      <c r="I4" s="9"/>
      <c r="J4" s="9"/>
      <c r="K4" s="9"/>
      <c r="L4" s="9" t="n">
        <f aca="false">E4*24/1000</f>
        <v>5.04</v>
      </c>
      <c r="M4" s="10" t="n">
        <f aca="false">G4/L4</f>
        <v>0.728174603174603</v>
      </c>
      <c r="N4" s="9" t="n">
        <f aca="false">G4-F4</f>
        <v>-0.23</v>
      </c>
      <c r="O4" s="10" t="n">
        <f aca="false">IF(F4=0,"",G4/F4)</f>
        <v>0.941025641025641</v>
      </c>
      <c r="P4" s="9" t="n">
        <f aca="false">IF(H4&gt;0,1,0)</f>
        <v>0</v>
      </c>
      <c r="Q4" s="9" t="n">
        <f aca="false">IF(G4=0,1,0)</f>
        <v>0</v>
      </c>
      <c r="R4" s="9" t="str">
        <f aca="false">TEXT(A4,"mmm")</f>
        <v>Jun</v>
      </c>
      <c r="S4" s="9" t="n">
        <f aca="false">WEEKNUM(A4,2)</f>
        <v>23</v>
      </c>
      <c r="T4" s="9" t="str">
        <f aca="false">IF(A4&lt;DATE(2026,6,30),"1-Pre-outage",IF(A4&lt;DATE(2026,7,5),"2-Transition","3-Outage-heavy"))</f>
        <v>1-Pre-outage</v>
      </c>
      <c r="U4" s="9" t="str">
        <f aca="false">IF(K4="","",IF(ISNUMBER(SEARCH("TURBINE",K4)),"Turbine",IF(ISNUMBER(SEARCH("GENERATOR",K4)),"Generator",IF(ISNUMBER(SEARCH("BOILER",K4)),"Boiler",IF(ISNUMBER(SEARCH("AIR PREHEATER",K4)),"Auxiliary",IF(ISNUMBER(SEARCH("ELECTRICAL",K4)),"Electrical","Other"))))))</f>
        <v/>
      </c>
      <c r="V4" s="9" t="n">
        <f aca="false">AVERAGEIFS(G:G,B:B,B4,H:H,0)</f>
        <v>3.72697674418605</v>
      </c>
      <c r="W4" s="9" t="n">
        <f aca="false">IF(P4=1,MAX(0,V4-G4),0)</f>
        <v>0</v>
      </c>
    </row>
    <row r="5" customFormat="false" ht="15" hidden="false" customHeight="false" outlineLevel="0" collapsed="false">
      <c r="A5" s="8" t="n">
        <v>46179</v>
      </c>
      <c r="B5" s="9" t="n">
        <v>4</v>
      </c>
      <c r="C5" s="9" t="str">
        <f aca="false">"Unit "&amp;B5</f>
        <v>Unit 4</v>
      </c>
      <c r="D5" s="9"/>
      <c r="E5" s="9" t="n">
        <v>210</v>
      </c>
      <c r="F5" s="9" t="n">
        <v>4</v>
      </c>
      <c r="G5" s="9" t="n">
        <v>3.75</v>
      </c>
      <c r="H5" s="9" t="n">
        <v>0</v>
      </c>
      <c r="I5" s="9"/>
      <c r="J5" s="9"/>
      <c r="K5" s="9"/>
      <c r="L5" s="9" t="n">
        <f aca="false">E5*24/1000</f>
        <v>5.04</v>
      </c>
      <c r="M5" s="10" t="n">
        <f aca="false">G5/L5</f>
        <v>0.744047619047619</v>
      </c>
      <c r="N5" s="9" t="n">
        <f aca="false">G5-F5</f>
        <v>-0.25</v>
      </c>
      <c r="O5" s="10" t="n">
        <f aca="false">IF(F5=0,"",G5/F5)</f>
        <v>0.9375</v>
      </c>
      <c r="P5" s="9" t="n">
        <f aca="false">IF(H5&gt;0,1,0)</f>
        <v>0</v>
      </c>
      <c r="Q5" s="9" t="n">
        <f aca="false">IF(G5=0,1,0)</f>
        <v>0</v>
      </c>
      <c r="R5" s="9" t="str">
        <f aca="false">TEXT(A5,"mmm")</f>
        <v>Jun</v>
      </c>
      <c r="S5" s="9" t="n">
        <f aca="false">WEEKNUM(A5,2)</f>
        <v>23</v>
      </c>
      <c r="T5" s="9" t="str">
        <f aca="false">IF(A5&lt;DATE(2026,6,30),"1-Pre-outage",IF(A5&lt;DATE(2026,7,5),"2-Transition","3-Outage-heavy"))</f>
        <v>1-Pre-outage</v>
      </c>
      <c r="U5" s="9" t="str">
        <f aca="false">IF(K5="","",IF(ISNUMBER(SEARCH("TURBINE",K5)),"Turbine",IF(ISNUMBER(SEARCH("GENERATOR",K5)),"Generator",IF(ISNUMBER(SEARCH("BOILER",K5)),"Boiler",IF(ISNUMBER(SEARCH("AIR PREHEATER",K5)),"Auxiliary",IF(ISNUMBER(SEARCH("ELECTRICAL",K5)),"Electrical","Other"))))))</f>
        <v/>
      </c>
      <c r="V5" s="9" t="n">
        <f aca="false">AVERAGEIFS(G:G,B:B,B5,H:H,0)</f>
        <v>3.53586206896552</v>
      </c>
      <c r="W5" s="9" t="n">
        <f aca="false">IF(P5=1,MAX(0,V5-G5),0)</f>
        <v>0</v>
      </c>
    </row>
    <row r="6" customFormat="false" ht="15" hidden="false" customHeight="false" outlineLevel="0" collapsed="false">
      <c r="A6" s="8" t="n">
        <v>46179</v>
      </c>
      <c r="B6" s="9" t="n">
        <v>5</v>
      </c>
      <c r="C6" s="9" t="str">
        <f aca="false">"Unit "&amp;B6</f>
        <v>Unit 5</v>
      </c>
      <c r="D6" s="9"/>
      <c r="E6" s="9" t="n">
        <v>210</v>
      </c>
      <c r="F6" s="9" t="n">
        <v>4</v>
      </c>
      <c r="G6" s="9" t="n">
        <v>3.85</v>
      </c>
      <c r="H6" s="9" t="n">
        <v>0</v>
      </c>
      <c r="I6" s="9"/>
      <c r="J6" s="9"/>
      <c r="K6" s="9"/>
      <c r="L6" s="9" t="n">
        <f aca="false">E6*24/1000</f>
        <v>5.04</v>
      </c>
      <c r="M6" s="10" t="n">
        <f aca="false">G6/L6</f>
        <v>0.763888888888889</v>
      </c>
      <c r="N6" s="9" t="n">
        <f aca="false">G6-F6</f>
        <v>-0.15</v>
      </c>
      <c r="O6" s="10" t="n">
        <f aca="false">IF(F6=0,"",G6/F6)</f>
        <v>0.9625</v>
      </c>
      <c r="P6" s="9" t="n">
        <f aca="false">IF(H6&gt;0,1,0)</f>
        <v>0</v>
      </c>
      <c r="Q6" s="9" t="n">
        <f aca="false">IF(G6=0,1,0)</f>
        <v>0</v>
      </c>
      <c r="R6" s="9" t="str">
        <f aca="false">TEXT(A6,"mmm")</f>
        <v>Jun</v>
      </c>
      <c r="S6" s="9" t="n">
        <f aca="false">WEEKNUM(A6,2)</f>
        <v>23</v>
      </c>
      <c r="T6" s="9" t="str">
        <f aca="false">IF(A6&lt;DATE(2026,6,30),"1-Pre-outage",IF(A6&lt;DATE(2026,7,5),"2-Transition","3-Outage-heavy"))</f>
        <v>1-Pre-outage</v>
      </c>
      <c r="U6" s="9" t="str">
        <f aca="false">IF(K6="","",IF(ISNUMBER(SEARCH("TURBINE",K6)),"Turbine",IF(ISNUMBER(SEARCH("GENERATOR",K6)),"Generator",IF(ISNUMBER(SEARCH("BOILER",K6)),"Boiler",IF(ISNUMBER(SEARCH("AIR PREHEATER",K6)),"Auxiliary",IF(ISNUMBER(SEARCH("ELECTRICAL",K6)),"Electrical","Other"))))))</f>
        <v/>
      </c>
      <c r="V6" s="9" t="n">
        <f aca="false">AVERAGEIFS(G:G,B:B,B6,H:H,0)</f>
        <v>3.98888888888889</v>
      </c>
      <c r="W6" s="9" t="n">
        <f aca="false">IF(P6=1,MAX(0,V6-G6),0)</f>
        <v>0</v>
      </c>
    </row>
    <row r="7" customFormat="false" ht="15" hidden="false" customHeight="false" outlineLevel="0" collapsed="false">
      <c r="A7" s="8" t="n">
        <v>46179</v>
      </c>
      <c r="B7" s="9" t="n">
        <v>6</v>
      </c>
      <c r="C7" s="9" t="str">
        <f aca="false">"Unit "&amp;B7</f>
        <v>Unit 6</v>
      </c>
      <c r="D7" s="9"/>
      <c r="E7" s="9" t="n">
        <v>195</v>
      </c>
      <c r="F7" s="9" t="n">
        <v>4.1</v>
      </c>
      <c r="G7" s="9" t="n">
        <v>3.85</v>
      </c>
      <c r="H7" s="9" t="n">
        <v>0</v>
      </c>
      <c r="I7" s="9"/>
      <c r="J7" s="9"/>
      <c r="K7" s="9"/>
      <c r="L7" s="9" t="n">
        <f aca="false">E7*24/1000</f>
        <v>4.68</v>
      </c>
      <c r="M7" s="10" t="n">
        <f aca="false">G7/L7</f>
        <v>0.822649572649573</v>
      </c>
      <c r="N7" s="9" t="n">
        <f aca="false">G7-F7</f>
        <v>-0.25</v>
      </c>
      <c r="O7" s="10" t="n">
        <f aca="false">IF(F7=0,"",G7/F7)</f>
        <v>0.939024390243903</v>
      </c>
      <c r="P7" s="9" t="n">
        <f aca="false">IF(H7&gt;0,1,0)</f>
        <v>0</v>
      </c>
      <c r="Q7" s="9" t="n">
        <f aca="false">IF(G7=0,1,0)</f>
        <v>0</v>
      </c>
      <c r="R7" s="9" t="str">
        <f aca="false">TEXT(A7,"mmm")</f>
        <v>Jun</v>
      </c>
      <c r="S7" s="9" t="n">
        <f aca="false">WEEKNUM(A7,2)</f>
        <v>23</v>
      </c>
      <c r="T7" s="9" t="str">
        <f aca="false">IF(A7&lt;DATE(2026,6,30),"1-Pre-outage",IF(A7&lt;DATE(2026,7,5),"2-Transition","3-Outage-heavy"))</f>
        <v>1-Pre-outage</v>
      </c>
      <c r="U7" s="9" t="str">
        <f aca="false">IF(K7="","",IF(ISNUMBER(SEARCH("TURBINE",K7)),"Turbine",IF(ISNUMBER(SEARCH("GENERATOR",K7)),"Generator",IF(ISNUMBER(SEARCH("BOILER",K7)),"Boiler",IF(ISNUMBER(SEARCH("AIR PREHEATER",K7)),"Auxiliary",IF(ISNUMBER(SEARCH("ELECTRICAL",K7)),"Electrical","Other"))))))</f>
        <v/>
      </c>
      <c r="V7" s="9" t="n">
        <f aca="false">AVERAGEIFS(G:G,B:B,B7,H:H,0)</f>
        <v>3.85377777777778</v>
      </c>
      <c r="W7" s="9" t="n">
        <f aca="false">IF(P7=1,MAX(0,V7-G7),0)</f>
        <v>0</v>
      </c>
    </row>
    <row r="8" customFormat="false" ht="15" hidden="false" customHeight="false" outlineLevel="0" collapsed="false">
      <c r="A8" s="8" t="n">
        <v>46179</v>
      </c>
      <c r="B8" s="9" t="n">
        <v>7</v>
      </c>
      <c r="C8" s="9" t="str">
        <f aca="false">"Unit "&amp;B8</f>
        <v>Unit 7</v>
      </c>
      <c r="D8" s="9"/>
      <c r="E8" s="9" t="n">
        <v>195</v>
      </c>
      <c r="F8" s="9" t="n">
        <v>4.1</v>
      </c>
      <c r="G8" s="9" t="n">
        <v>3.82</v>
      </c>
      <c r="H8" s="9" t="n">
        <v>0</v>
      </c>
      <c r="I8" s="9"/>
      <c r="J8" s="9"/>
      <c r="K8" s="9"/>
      <c r="L8" s="9" t="n">
        <f aca="false">E8*24/1000</f>
        <v>4.68</v>
      </c>
      <c r="M8" s="10" t="n">
        <f aca="false">G8/L8</f>
        <v>0.816239316239316</v>
      </c>
      <c r="N8" s="9" t="n">
        <f aca="false">G8-F8</f>
        <v>-0.28</v>
      </c>
      <c r="O8" s="10" t="n">
        <f aca="false">IF(F8=0,"",G8/F8)</f>
        <v>0.931707317073171</v>
      </c>
      <c r="P8" s="9" t="n">
        <f aca="false">IF(H8&gt;0,1,0)</f>
        <v>0</v>
      </c>
      <c r="Q8" s="9" t="n">
        <f aca="false">IF(G8=0,1,0)</f>
        <v>0</v>
      </c>
      <c r="R8" s="9" t="str">
        <f aca="false">TEXT(A8,"mmm")</f>
        <v>Jun</v>
      </c>
      <c r="S8" s="9" t="n">
        <f aca="false">WEEKNUM(A8,2)</f>
        <v>23</v>
      </c>
      <c r="T8" s="9" t="str">
        <f aca="false">IF(A8&lt;DATE(2026,6,30),"1-Pre-outage",IF(A8&lt;DATE(2026,7,5),"2-Transition","3-Outage-heavy"))</f>
        <v>1-Pre-outage</v>
      </c>
      <c r="U8" s="9" t="str">
        <f aca="false">IF(K8="","",IF(ISNUMBER(SEARCH("TURBINE",K8)),"Turbine",IF(ISNUMBER(SEARCH("GENERATOR",K8)),"Generator",IF(ISNUMBER(SEARCH("BOILER",K8)),"Boiler",IF(ISNUMBER(SEARCH("AIR PREHEATER",K8)),"Auxiliary",IF(ISNUMBER(SEARCH("ELECTRICAL",K8)),"Electrical","Other"))))))</f>
        <v/>
      </c>
      <c r="V8" s="9" t="n">
        <f aca="false">AVERAGEIFS(G:G,B:B,B8,H:H,0)</f>
        <v>3.98375</v>
      </c>
      <c r="W8" s="9" t="n">
        <f aca="false">IF(P8=1,MAX(0,V8-G8),0)</f>
        <v>0</v>
      </c>
    </row>
    <row r="9" customFormat="false" ht="15" hidden="false" customHeight="false" outlineLevel="0" collapsed="false">
      <c r="A9" s="8" t="n">
        <v>46180</v>
      </c>
      <c r="B9" s="9" t="n">
        <v>1</v>
      </c>
      <c r="C9" s="9" t="str">
        <f aca="false">"Unit "&amp;B9</f>
        <v>Unit 1</v>
      </c>
      <c r="D9" s="9"/>
      <c r="E9" s="9" t="n">
        <v>110</v>
      </c>
      <c r="F9" s="9" t="n">
        <v>1.93</v>
      </c>
      <c r="G9" s="9" t="n">
        <v>1.61</v>
      </c>
      <c r="H9" s="9" t="n">
        <v>0</v>
      </c>
      <c r="I9" s="9"/>
      <c r="J9" s="9"/>
      <c r="K9" s="9"/>
      <c r="L9" s="9" t="n">
        <f aca="false">E9*24/1000</f>
        <v>2.64</v>
      </c>
      <c r="M9" s="10" t="n">
        <f aca="false">G9/L9</f>
        <v>0.609848484848485</v>
      </c>
      <c r="N9" s="9" t="n">
        <f aca="false">G9-F9</f>
        <v>-0.32</v>
      </c>
      <c r="O9" s="10" t="n">
        <f aca="false">IF(F9=0,"",G9/F9)</f>
        <v>0.83419689119171</v>
      </c>
      <c r="P9" s="9" t="n">
        <f aca="false">IF(H9&gt;0,1,0)</f>
        <v>0</v>
      </c>
      <c r="Q9" s="9" t="n">
        <f aca="false">IF(G9=0,1,0)</f>
        <v>0</v>
      </c>
      <c r="R9" s="9" t="str">
        <f aca="false">TEXT(A9,"mmm")</f>
        <v>Jun</v>
      </c>
      <c r="S9" s="9" t="n">
        <f aca="false">WEEKNUM(A9,2)</f>
        <v>23</v>
      </c>
      <c r="T9" s="9" t="str">
        <f aca="false">IF(A9&lt;DATE(2026,6,30),"1-Pre-outage",IF(A9&lt;DATE(2026,7,5),"2-Transition","3-Outage-heavy"))</f>
        <v>1-Pre-outage</v>
      </c>
      <c r="U9" s="9" t="str">
        <f aca="false">IF(K9="","",IF(ISNUMBER(SEARCH("TURBINE",K9)),"Turbine",IF(ISNUMBER(SEARCH("GENERATOR",K9)),"Generator",IF(ISNUMBER(SEARCH("BOILER",K9)),"Boiler",IF(ISNUMBER(SEARCH("AIR PREHEATER",K9)),"Auxiliary",IF(ISNUMBER(SEARCH("ELECTRICAL",K9)),"Electrical","Other"))))))</f>
        <v/>
      </c>
      <c r="V9" s="9" t="n">
        <f aca="false">AVERAGEIFS(G:G,B:B,B9,H:H,0)</f>
        <v>1.61181818181818</v>
      </c>
      <c r="W9" s="9" t="n">
        <f aca="false">IF(P9=1,MAX(0,V9-G9),0)</f>
        <v>0</v>
      </c>
    </row>
    <row r="10" customFormat="false" ht="15" hidden="false" customHeight="false" outlineLevel="0" collapsed="false">
      <c r="A10" s="8" t="n">
        <v>46180</v>
      </c>
      <c r="B10" s="9" t="n">
        <v>2</v>
      </c>
      <c r="C10" s="9" t="str">
        <f aca="false">"Unit "&amp;B10</f>
        <v>Unit 2</v>
      </c>
      <c r="D10" s="9"/>
      <c r="E10" s="9" t="n">
        <v>110</v>
      </c>
      <c r="F10" s="9" t="n">
        <v>1.93</v>
      </c>
      <c r="G10" s="9" t="n">
        <v>1.58</v>
      </c>
      <c r="H10" s="9" t="n">
        <v>0</v>
      </c>
      <c r="I10" s="9"/>
      <c r="J10" s="9"/>
      <c r="K10" s="9"/>
      <c r="L10" s="9" t="n">
        <f aca="false">E10*24/1000</f>
        <v>2.64</v>
      </c>
      <c r="M10" s="10" t="n">
        <f aca="false">G10/L10</f>
        <v>0.598484848484849</v>
      </c>
      <c r="N10" s="9" t="n">
        <f aca="false">G10-F10</f>
        <v>-0.35</v>
      </c>
      <c r="O10" s="10" t="n">
        <f aca="false">IF(F10=0,"",G10/F10)</f>
        <v>0.818652849740933</v>
      </c>
      <c r="P10" s="9" t="n">
        <f aca="false">IF(H10&gt;0,1,0)</f>
        <v>0</v>
      </c>
      <c r="Q10" s="9" t="n">
        <f aca="false">IF(G10=0,1,0)</f>
        <v>0</v>
      </c>
      <c r="R10" s="9" t="str">
        <f aca="false">TEXT(A10,"mmm")</f>
        <v>Jun</v>
      </c>
      <c r="S10" s="9" t="n">
        <f aca="false">WEEKNUM(A10,2)</f>
        <v>23</v>
      </c>
      <c r="T10" s="9" t="str">
        <f aca="false">IF(A10&lt;DATE(2026,6,30),"1-Pre-outage",IF(A10&lt;DATE(2026,7,5),"2-Transition","3-Outage-heavy"))</f>
        <v>1-Pre-outage</v>
      </c>
      <c r="U10" s="9" t="str">
        <f aca="false">IF(K10="","",IF(ISNUMBER(SEARCH("TURBINE",K10)),"Turbine",IF(ISNUMBER(SEARCH("GENERATOR",K10)),"Generator",IF(ISNUMBER(SEARCH("BOILER",K10)),"Boiler",IF(ISNUMBER(SEARCH("AIR PREHEATER",K10)),"Auxiliary",IF(ISNUMBER(SEARCH("ELECTRICAL",K10)),"Electrical","Other"))))))</f>
        <v/>
      </c>
      <c r="V10" s="9" t="n">
        <f aca="false">AVERAGEIFS(G:G,B:B,B10,H:H,0)</f>
        <v>1.67955555555556</v>
      </c>
      <c r="W10" s="9" t="n">
        <f aca="false">IF(P10=1,MAX(0,V10-G10),0)</f>
        <v>0</v>
      </c>
    </row>
    <row r="11" customFormat="false" ht="15" hidden="false" customHeight="false" outlineLevel="0" collapsed="false">
      <c r="A11" s="8" t="n">
        <v>46180</v>
      </c>
      <c r="B11" s="9" t="n">
        <v>3</v>
      </c>
      <c r="C11" s="9" t="str">
        <f aca="false">"Unit "&amp;B11</f>
        <v>Unit 3</v>
      </c>
      <c r="D11" s="9"/>
      <c r="E11" s="9" t="n">
        <v>210</v>
      </c>
      <c r="F11" s="9" t="n">
        <v>3.9</v>
      </c>
      <c r="G11" s="9" t="n">
        <v>3.59</v>
      </c>
      <c r="H11" s="9" t="n">
        <v>0</v>
      </c>
      <c r="I11" s="9"/>
      <c r="J11" s="9"/>
      <c r="K11" s="9"/>
      <c r="L11" s="9" t="n">
        <f aca="false">E11*24/1000</f>
        <v>5.04</v>
      </c>
      <c r="M11" s="10" t="n">
        <f aca="false">G11/L11</f>
        <v>0.712301587301587</v>
      </c>
      <c r="N11" s="9" t="n">
        <f aca="false">G11-F11</f>
        <v>-0.31</v>
      </c>
      <c r="O11" s="10" t="n">
        <f aca="false">IF(F11=0,"",G11/F11)</f>
        <v>0.920512820512821</v>
      </c>
      <c r="P11" s="9" t="n">
        <f aca="false">IF(H11&gt;0,1,0)</f>
        <v>0</v>
      </c>
      <c r="Q11" s="9" t="n">
        <f aca="false">IF(G11=0,1,0)</f>
        <v>0</v>
      </c>
      <c r="R11" s="9" t="str">
        <f aca="false">TEXT(A11,"mmm")</f>
        <v>Jun</v>
      </c>
      <c r="S11" s="9" t="n">
        <f aca="false">WEEKNUM(A11,2)</f>
        <v>23</v>
      </c>
      <c r="T11" s="9" t="str">
        <f aca="false">IF(A11&lt;DATE(2026,6,30),"1-Pre-outage",IF(A11&lt;DATE(2026,7,5),"2-Transition","3-Outage-heavy"))</f>
        <v>1-Pre-outage</v>
      </c>
      <c r="U11" s="9" t="str">
        <f aca="false">IF(K11="","",IF(ISNUMBER(SEARCH("TURBINE",K11)),"Turbine",IF(ISNUMBER(SEARCH("GENERATOR",K11)),"Generator",IF(ISNUMBER(SEARCH("BOILER",K11)),"Boiler",IF(ISNUMBER(SEARCH("AIR PREHEATER",K11)),"Auxiliary",IF(ISNUMBER(SEARCH("ELECTRICAL",K11)),"Electrical","Other"))))))</f>
        <v/>
      </c>
      <c r="V11" s="9" t="n">
        <f aca="false">AVERAGEIFS(G:G,B:B,B11,H:H,0)</f>
        <v>3.72697674418605</v>
      </c>
      <c r="W11" s="9" t="n">
        <f aca="false">IF(P11=1,MAX(0,V11-G11),0)</f>
        <v>0</v>
      </c>
    </row>
    <row r="12" customFormat="false" ht="15" hidden="false" customHeight="false" outlineLevel="0" collapsed="false">
      <c r="A12" s="8" t="n">
        <v>46180</v>
      </c>
      <c r="B12" s="9" t="n">
        <v>4</v>
      </c>
      <c r="C12" s="9" t="str">
        <f aca="false">"Unit "&amp;B12</f>
        <v>Unit 4</v>
      </c>
      <c r="D12" s="9"/>
      <c r="E12" s="9" t="n">
        <v>210</v>
      </c>
      <c r="F12" s="9" t="n">
        <v>4</v>
      </c>
      <c r="G12" s="9" t="n">
        <v>3.61</v>
      </c>
      <c r="H12" s="9" t="n">
        <v>0</v>
      </c>
      <c r="I12" s="9"/>
      <c r="J12" s="9"/>
      <c r="K12" s="9"/>
      <c r="L12" s="9" t="n">
        <f aca="false">E12*24/1000</f>
        <v>5.04</v>
      </c>
      <c r="M12" s="10" t="n">
        <f aca="false">G12/L12</f>
        <v>0.716269841269841</v>
      </c>
      <c r="N12" s="9" t="n">
        <f aca="false">G12-F12</f>
        <v>-0.39</v>
      </c>
      <c r="O12" s="10" t="n">
        <f aca="false">IF(F12=0,"",G12/F12)</f>
        <v>0.9025</v>
      </c>
      <c r="P12" s="9" t="n">
        <f aca="false">IF(H12&gt;0,1,0)</f>
        <v>0</v>
      </c>
      <c r="Q12" s="9" t="n">
        <f aca="false">IF(G12=0,1,0)</f>
        <v>0</v>
      </c>
      <c r="R12" s="9" t="str">
        <f aca="false">TEXT(A12,"mmm")</f>
        <v>Jun</v>
      </c>
      <c r="S12" s="9" t="n">
        <f aca="false">WEEKNUM(A12,2)</f>
        <v>23</v>
      </c>
      <c r="T12" s="9" t="str">
        <f aca="false">IF(A12&lt;DATE(2026,6,30),"1-Pre-outage",IF(A12&lt;DATE(2026,7,5),"2-Transition","3-Outage-heavy"))</f>
        <v>1-Pre-outage</v>
      </c>
      <c r="U12" s="9" t="str">
        <f aca="false">IF(K12="","",IF(ISNUMBER(SEARCH("TURBINE",K12)),"Turbine",IF(ISNUMBER(SEARCH("GENERATOR",K12)),"Generator",IF(ISNUMBER(SEARCH("BOILER",K12)),"Boiler",IF(ISNUMBER(SEARCH("AIR PREHEATER",K12)),"Auxiliary",IF(ISNUMBER(SEARCH("ELECTRICAL",K12)),"Electrical","Other"))))))</f>
        <v/>
      </c>
      <c r="V12" s="9" t="n">
        <f aca="false">AVERAGEIFS(G:G,B:B,B12,H:H,0)</f>
        <v>3.53586206896552</v>
      </c>
      <c r="W12" s="9" t="n">
        <f aca="false">IF(P12=1,MAX(0,V12-G12),0)</f>
        <v>0</v>
      </c>
    </row>
    <row r="13" customFormat="false" ht="15" hidden="false" customHeight="false" outlineLevel="0" collapsed="false">
      <c r="A13" s="8" t="n">
        <v>46180</v>
      </c>
      <c r="B13" s="9" t="n">
        <v>5</v>
      </c>
      <c r="C13" s="9" t="str">
        <f aca="false">"Unit "&amp;B13</f>
        <v>Unit 5</v>
      </c>
      <c r="D13" s="9"/>
      <c r="E13" s="9" t="n">
        <v>210</v>
      </c>
      <c r="F13" s="9" t="n">
        <v>4</v>
      </c>
      <c r="G13" s="9" t="n">
        <v>3.83</v>
      </c>
      <c r="H13" s="9" t="n">
        <v>0</v>
      </c>
      <c r="I13" s="9"/>
      <c r="J13" s="9"/>
      <c r="K13" s="9"/>
      <c r="L13" s="9" t="n">
        <f aca="false">E13*24/1000</f>
        <v>5.04</v>
      </c>
      <c r="M13" s="10" t="n">
        <f aca="false">G13/L13</f>
        <v>0.759920634920635</v>
      </c>
      <c r="N13" s="9" t="n">
        <f aca="false">G13-F13</f>
        <v>-0.17</v>
      </c>
      <c r="O13" s="10" t="n">
        <f aca="false">IF(F13=0,"",G13/F13)</f>
        <v>0.9575</v>
      </c>
      <c r="P13" s="9" t="n">
        <f aca="false">IF(H13&gt;0,1,0)</f>
        <v>0</v>
      </c>
      <c r="Q13" s="9" t="n">
        <f aca="false">IF(G13=0,1,0)</f>
        <v>0</v>
      </c>
      <c r="R13" s="9" t="str">
        <f aca="false">TEXT(A13,"mmm")</f>
        <v>Jun</v>
      </c>
      <c r="S13" s="9" t="n">
        <f aca="false">WEEKNUM(A13,2)</f>
        <v>23</v>
      </c>
      <c r="T13" s="9" t="str">
        <f aca="false">IF(A13&lt;DATE(2026,6,30),"1-Pre-outage",IF(A13&lt;DATE(2026,7,5),"2-Transition","3-Outage-heavy"))</f>
        <v>1-Pre-outage</v>
      </c>
      <c r="U13" s="9" t="str">
        <f aca="false">IF(K13="","",IF(ISNUMBER(SEARCH("TURBINE",K13)),"Turbine",IF(ISNUMBER(SEARCH("GENERATOR",K13)),"Generator",IF(ISNUMBER(SEARCH("BOILER",K13)),"Boiler",IF(ISNUMBER(SEARCH("AIR PREHEATER",K13)),"Auxiliary",IF(ISNUMBER(SEARCH("ELECTRICAL",K13)),"Electrical","Other"))))))</f>
        <v/>
      </c>
      <c r="V13" s="9" t="n">
        <f aca="false">AVERAGEIFS(G:G,B:B,B13,H:H,0)</f>
        <v>3.98888888888889</v>
      </c>
      <c r="W13" s="9" t="n">
        <f aca="false">IF(P13=1,MAX(0,V13-G13),0)</f>
        <v>0</v>
      </c>
    </row>
    <row r="14" customFormat="false" ht="15" hidden="false" customHeight="false" outlineLevel="0" collapsed="false">
      <c r="A14" s="8" t="n">
        <v>46180</v>
      </c>
      <c r="B14" s="9" t="n">
        <v>6</v>
      </c>
      <c r="C14" s="9" t="str">
        <f aca="false">"Unit "&amp;B14</f>
        <v>Unit 6</v>
      </c>
      <c r="D14" s="9"/>
      <c r="E14" s="9" t="n">
        <v>195</v>
      </c>
      <c r="F14" s="9" t="n">
        <v>4.1</v>
      </c>
      <c r="G14" s="9" t="n">
        <v>3.85</v>
      </c>
      <c r="H14" s="9" t="n">
        <v>0</v>
      </c>
      <c r="I14" s="9"/>
      <c r="J14" s="9"/>
      <c r="K14" s="9"/>
      <c r="L14" s="9" t="n">
        <f aca="false">E14*24/1000</f>
        <v>4.68</v>
      </c>
      <c r="M14" s="10" t="n">
        <f aca="false">G14/L14</f>
        <v>0.822649572649573</v>
      </c>
      <c r="N14" s="9" t="n">
        <f aca="false">G14-F14</f>
        <v>-0.25</v>
      </c>
      <c r="O14" s="10" t="n">
        <f aca="false">IF(F14=0,"",G14/F14)</f>
        <v>0.939024390243903</v>
      </c>
      <c r="P14" s="9" t="n">
        <f aca="false">IF(H14&gt;0,1,0)</f>
        <v>0</v>
      </c>
      <c r="Q14" s="9" t="n">
        <f aca="false">IF(G14=0,1,0)</f>
        <v>0</v>
      </c>
      <c r="R14" s="9" t="str">
        <f aca="false">TEXT(A14,"mmm")</f>
        <v>Jun</v>
      </c>
      <c r="S14" s="9" t="n">
        <f aca="false">WEEKNUM(A14,2)</f>
        <v>23</v>
      </c>
      <c r="T14" s="9" t="str">
        <f aca="false">IF(A14&lt;DATE(2026,6,30),"1-Pre-outage",IF(A14&lt;DATE(2026,7,5),"2-Transition","3-Outage-heavy"))</f>
        <v>1-Pre-outage</v>
      </c>
      <c r="U14" s="9" t="str">
        <f aca="false">IF(K14="","",IF(ISNUMBER(SEARCH("TURBINE",K14)),"Turbine",IF(ISNUMBER(SEARCH("GENERATOR",K14)),"Generator",IF(ISNUMBER(SEARCH("BOILER",K14)),"Boiler",IF(ISNUMBER(SEARCH("AIR PREHEATER",K14)),"Auxiliary",IF(ISNUMBER(SEARCH("ELECTRICAL",K14)),"Electrical","Other"))))))</f>
        <v/>
      </c>
      <c r="V14" s="9" t="n">
        <f aca="false">AVERAGEIFS(G:G,B:B,B14,H:H,0)</f>
        <v>3.85377777777778</v>
      </c>
      <c r="W14" s="9" t="n">
        <f aca="false">IF(P14=1,MAX(0,V14-G14),0)</f>
        <v>0</v>
      </c>
    </row>
    <row r="15" customFormat="false" ht="15" hidden="false" customHeight="false" outlineLevel="0" collapsed="false">
      <c r="A15" s="8" t="n">
        <v>46180</v>
      </c>
      <c r="B15" s="9" t="n">
        <v>7</v>
      </c>
      <c r="C15" s="9" t="str">
        <f aca="false">"Unit "&amp;B15</f>
        <v>Unit 7</v>
      </c>
      <c r="D15" s="9"/>
      <c r="E15" s="9" t="n">
        <v>195</v>
      </c>
      <c r="F15" s="9" t="n">
        <v>4.1</v>
      </c>
      <c r="G15" s="9" t="n">
        <v>3.81</v>
      </c>
      <c r="H15" s="9" t="n">
        <v>0</v>
      </c>
      <c r="I15" s="9"/>
      <c r="J15" s="9"/>
      <c r="K15" s="9"/>
      <c r="L15" s="9" t="n">
        <f aca="false">E15*24/1000</f>
        <v>4.68</v>
      </c>
      <c r="M15" s="10" t="n">
        <f aca="false">G15/L15</f>
        <v>0.814102564102564</v>
      </c>
      <c r="N15" s="9" t="n">
        <f aca="false">G15-F15</f>
        <v>-0.29</v>
      </c>
      <c r="O15" s="10" t="n">
        <f aca="false">IF(F15=0,"",G15/F15)</f>
        <v>0.929268292682927</v>
      </c>
      <c r="P15" s="9" t="n">
        <f aca="false">IF(H15&gt;0,1,0)</f>
        <v>0</v>
      </c>
      <c r="Q15" s="9" t="n">
        <f aca="false">IF(G15=0,1,0)</f>
        <v>0</v>
      </c>
      <c r="R15" s="9" t="str">
        <f aca="false">TEXT(A15,"mmm")</f>
        <v>Jun</v>
      </c>
      <c r="S15" s="9" t="n">
        <f aca="false">WEEKNUM(A15,2)</f>
        <v>23</v>
      </c>
      <c r="T15" s="9" t="str">
        <f aca="false">IF(A15&lt;DATE(2026,6,30),"1-Pre-outage",IF(A15&lt;DATE(2026,7,5),"2-Transition","3-Outage-heavy"))</f>
        <v>1-Pre-outage</v>
      </c>
      <c r="U15" s="9" t="str">
        <f aca="false">IF(K15="","",IF(ISNUMBER(SEARCH("TURBINE",K15)),"Turbine",IF(ISNUMBER(SEARCH("GENERATOR",K15)),"Generator",IF(ISNUMBER(SEARCH("BOILER",K15)),"Boiler",IF(ISNUMBER(SEARCH("AIR PREHEATER",K15)),"Auxiliary",IF(ISNUMBER(SEARCH("ELECTRICAL",K15)),"Electrical","Other"))))))</f>
        <v/>
      </c>
      <c r="V15" s="9" t="n">
        <f aca="false">AVERAGEIFS(G:G,B:B,B15,H:H,0)</f>
        <v>3.98375</v>
      </c>
      <c r="W15" s="9" t="n">
        <f aca="false">IF(P15=1,MAX(0,V15-G15),0)</f>
        <v>0</v>
      </c>
    </row>
    <row r="16" customFormat="false" ht="15" hidden="false" customHeight="false" outlineLevel="0" collapsed="false">
      <c r="A16" s="8" t="n">
        <v>46181</v>
      </c>
      <c r="B16" s="9" t="n">
        <v>1</v>
      </c>
      <c r="C16" s="9" t="str">
        <f aca="false">"Unit "&amp;B16</f>
        <v>Unit 1</v>
      </c>
      <c r="D16" s="9"/>
      <c r="E16" s="9" t="n">
        <v>110</v>
      </c>
      <c r="F16" s="9" t="n">
        <v>1.93</v>
      </c>
      <c r="G16" s="9" t="n">
        <v>1.55</v>
      </c>
      <c r="H16" s="9" t="n">
        <v>0</v>
      </c>
      <c r="I16" s="9"/>
      <c r="J16" s="9"/>
      <c r="K16" s="9"/>
      <c r="L16" s="9" t="n">
        <f aca="false">E16*24/1000</f>
        <v>2.64</v>
      </c>
      <c r="M16" s="10" t="n">
        <f aca="false">G16/L16</f>
        <v>0.587121212121212</v>
      </c>
      <c r="N16" s="9" t="n">
        <f aca="false">G16-F16</f>
        <v>-0.38</v>
      </c>
      <c r="O16" s="10" t="n">
        <f aca="false">IF(F16=0,"",G16/F16)</f>
        <v>0.803108808290156</v>
      </c>
      <c r="P16" s="9" t="n">
        <f aca="false">IF(H16&gt;0,1,0)</f>
        <v>0</v>
      </c>
      <c r="Q16" s="9" t="n">
        <f aca="false">IF(G16=0,1,0)</f>
        <v>0</v>
      </c>
      <c r="R16" s="9" t="str">
        <f aca="false">TEXT(A16,"mmm")</f>
        <v>Jun</v>
      </c>
      <c r="S16" s="9" t="n">
        <f aca="false">WEEKNUM(A16,2)</f>
        <v>24</v>
      </c>
      <c r="T16" s="9" t="str">
        <f aca="false">IF(A16&lt;DATE(2026,6,30),"1-Pre-outage",IF(A16&lt;DATE(2026,7,5),"2-Transition","3-Outage-heavy"))</f>
        <v>1-Pre-outage</v>
      </c>
      <c r="U16" s="9" t="str">
        <f aca="false">IF(K16="","",IF(ISNUMBER(SEARCH("TURBINE",K16)),"Turbine",IF(ISNUMBER(SEARCH("GENERATOR",K16)),"Generator",IF(ISNUMBER(SEARCH("BOILER",K16)),"Boiler",IF(ISNUMBER(SEARCH("AIR PREHEATER",K16)),"Auxiliary",IF(ISNUMBER(SEARCH("ELECTRICAL",K16)),"Electrical","Other"))))))</f>
        <v/>
      </c>
      <c r="V16" s="9" t="n">
        <f aca="false">AVERAGEIFS(G:G,B:B,B16,H:H,0)</f>
        <v>1.61181818181818</v>
      </c>
      <c r="W16" s="9" t="n">
        <f aca="false">IF(P16=1,MAX(0,V16-G16),0)</f>
        <v>0</v>
      </c>
    </row>
    <row r="17" customFormat="false" ht="15" hidden="false" customHeight="false" outlineLevel="0" collapsed="false">
      <c r="A17" s="8" t="n">
        <v>46181</v>
      </c>
      <c r="B17" s="9" t="n">
        <v>2</v>
      </c>
      <c r="C17" s="9" t="str">
        <f aca="false">"Unit "&amp;B17</f>
        <v>Unit 2</v>
      </c>
      <c r="D17" s="9"/>
      <c r="E17" s="9" t="n">
        <v>110</v>
      </c>
      <c r="F17" s="9" t="n">
        <v>1.93</v>
      </c>
      <c r="G17" s="9" t="n">
        <v>1.6</v>
      </c>
      <c r="H17" s="9" t="n">
        <v>0</v>
      </c>
      <c r="I17" s="9"/>
      <c r="J17" s="9"/>
      <c r="K17" s="9"/>
      <c r="L17" s="9" t="n">
        <f aca="false">E17*24/1000</f>
        <v>2.64</v>
      </c>
      <c r="M17" s="10" t="n">
        <f aca="false">G17/L17</f>
        <v>0.606060606060606</v>
      </c>
      <c r="N17" s="9" t="n">
        <f aca="false">G17-F17</f>
        <v>-0.33</v>
      </c>
      <c r="O17" s="10" t="n">
        <f aca="false">IF(F17=0,"",G17/F17)</f>
        <v>0.829015544041451</v>
      </c>
      <c r="P17" s="9" t="n">
        <f aca="false">IF(H17&gt;0,1,0)</f>
        <v>0</v>
      </c>
      <c r="Q17" s="9" t="n">
        <f aca="false">IF(G17=0,1,0)</f>
        <v>0</v>
      </c>
      <c r="R17" s="9" t="str">
        <f aca="false">TEXT(A17,"mmm")</f>
        <v>Jun</v>
      </c>
      <c r="S17" s="9" t="n">
        <f aca="false">WEEKNUM(A17,2)</f>
        <v>24</v>
      </c>
      <c r="T17" s="9" t="str">
        <f aca="false">IF(A17&lt;DATE(2026,6,30),"1-Pre-outage",IF(A17&lt;DATE(2026,7,5),"2-Transition","3-Outage-heavy"))</f>
        <v>1-Pre-outage</v>
      </c>
      <c r="U17" s="9" t="str">
        <f aca="false">IF(K17="","",IF(ISNUMBER(SEARCH("TURBINE",K17)),"Turbine",IF(ISNUMBER(SEARCH("GENERATOR",K17)),"Generator",IF(ISNUMBER(SEARCH("BOILER",K17)),"Boiler",IF(ISNUMBER(SEARCH("AIR PREHEATER",K17)),"Auxiliary",IF(ISNUMBER(SEARCH("ELECTRICAL",K17)),"Electrical","Other"))))))</f>
        <v/>
      </c>
      <c r="V17" s="9" t="n">
        <f aca="false">AVERAGEIFS(G:G,B:B,B17,H:H,0)</f>
        <v>1.67955555555556</v>
      </c>
      <c r="W17" s="9" t="n">
        <f aca="false">IF(P17=1,MAX(0,V17-G17),0)</f>
        <v>0</v>
      </c>
    </row>
    <row r="18" customFormat="false" ht="15" hidden="false" customHeight="false" outlineLevel="0" collapsed="false">
      <c r="A18" s="8" t="n">
        <v>46181</v>
      </c>
      <c r="B18" s="9" t="n">
        <v>3</v>
      </c>
      <c r="C18" s="9" t="str">
        <f aca="false">"Unit "&amp;B18</f>
        <v>Unit 3</v>
      </c>
      <c r="D18" s="9"/>
      <c r="E18" s="9" t="n">
        <v>210</v>
      </c>
      <c r="F18" s="9" t="n">
        <v>3.9</v>
      </c>
      <c r="G18" s="9" t="n">
        <v>3.61</v>
      </c>
      <c r="H18" s="9" t="n">
        <v>0</v>
      </c>
      <c r="I18" s="9"/>
      <c r="J18" s="9"/>
      <c r="K18" s="9"/>
      <c r="L18" s="9" t="n">
        <f aca="false">E18*24/1000</f>
        <v>5.04</v>
      </c>
      <c r="M18" s="10" t="n">
        <f aca="false">G18/L18</f>
        <v>0.716269841269841</v>
      </c>
      <c r="N18" s="9" t="n">
        <f aca="false">G18-F18</f>
        <v>-0.29</v>
      </c>
      <c r="O18" s="10" t="n">
        <f aca="false">IF(F18=0,"",G18/F18)</f>
        <v>0.925641025641026</v>
      </c>
      <c r="P18" s="9" t="n">
        <f aca="false">IF(H18&gt;0,1,0)</f>
        <v>0</v>
      </c>
      <c r="Q18" s="9" t="n">
        <f aca="false">IF(G18=0,1,0)</f>
        <v>0</v>
      </c>
      <c r="R18" s="9" t="str">
        <f aca="false">TEXT(A18,"mmm")</f>
        <v>Jun</v>
      </c>
      <c r="S18" s="9" t="n">
        <f aca="false">WEEKNUM(A18,2)</f>
        <v>24</v>
      </c>
      <c r="T18" s="9" t="str">
        <f aca="false">IF(A18&lt;DATE(2026,6,30),"1-Pre-outage",IF(A18&lt;DATE(2026,7,5),"2-Transition","3-Outage-heavy"))</f>
        <v>1-Pre-outage</v>
      </c>
      <c r="U18" s="9" t="str">
        <f aca="false">IF(K18="","",IF(ISNUMBER(SEARCH("TURBINE",K18)),"Turbine",IF(ISNUMBER(SEARCH("GENERATOR",K18)),"Generator",IF(ISNUMBER(SEARCH("BOILER",K18)),"Boiler",IF(ISNUMBER(SEARCH("AIR PREHEATER",K18)),"Auxiliary",IF(ISNUMBER(SEARCH("ELECTRICAL",K18)),"Electrical","Other"))))))</f>
        <v/>
      </c>
      <c r="V18" s="9" t="n">
        <f aca="false">AVERAGEIFS(G:G,B:B,B18,H:H,0)</f>
        <v>3.72697674418605</v>
      </c>
      <c r="W18" s="9" t="n">
        <f aca="false">IF(P18=1,MAX(0,V18-G18),0)</f>
        <v>0</v>
      </c>
    </row>
    <row r="19" customFormat="false" ht="15" hidden="false" customHeight="false" outlineLevel="0" collapsed="false">
      <c r="A19" s="8" t="n">
        <v>46181</v>
      </c>
      <c r="B19" s="9" t="n">
        <v>4</v>
      </c>
      <c r="C19" s="9" t="str">
        <f aca="false">"Unit "&amp;B19</f>
        <v>Unit 4</v>
      </c>
      <c r="D19" s="9"/>
      <c r="E19" s="9" t="n">
        <v>210</v>
      </c>
      <c r="F19" s="9" t="n">
        <v>4</v>
      </c>
      <c r="G19" s="9" t="n">
        <v>3.67</v>
      </c>
      <c r="H19" s="9" t="n">
        <v>0</v>
      </c>
      <c r="I19" s="9"/>
      <c r="J19" s="9"/>
      <c r="K19" s="9"/>
      <c r="L19" s="9" t="n">
        <f aca="false">E19*24/1000</f>
        <v>5.04</v>
      </c>
      <c r="M19" s="10" t="n">
        <f aca="false">G19/L19</f>
        <v>0.728174603174603</v>
      </c>
      <c r="N19" s="9" t="n">
        <f aca="false">G19-F19</f>
        <v>-0.33</v>
      </c>
      <c r="O19" s="10" t="n">
        <f aca="false">IF(F19=0,"",G19/F19)</f>
        <v>0.9175</v>
      </c>
      <c r="P19" s="9" t="n">
        <f aca="false">IF(H19&gt;0,1,0)</f>
        <v>0</v>
      </c>
      <c r="Q19" s="9" t="n">
        <f aca="false">IF(G19=0,1,0)</f>
        <v>0</v>
      </c>
      <c r="R19" s="9" t="str">
        <f aca="false">TEXT(A19,"mmm")</f>
        <v>Jun</v>
      </c>
      <c r="S19" s="9" t="n">
        <f aca="false">WEEKNUM(A19,2)</f>
        <v>24</v>
      </c>
      <c r="T19" s="9" t="str">
        <f aca="false">IF(A19&lt;DATE(2026,6,30),"1-Pre-outage",IF(A19&lt;DATE(2026,7,5),"2-Transition","3-Outage-heavy"))</f>
        <v>1-Pre-outage</v>
      </c>
      <c r="U19" s="9" t="str">
        <f aca="false">IF(K19="","",IF(ISNUMBER(SEARCH("TURBINE",K19)),"Turbine",IF(ISNUMBER(SEARCH("GENERATOR",K19)),"Generator",IF(ISNUMBER(SEARCH("BOILER",K19)),"Boiler",IF(ISNUMBER(SEARCH("AIR PREHEATER",K19)),"Auxiliary",IF(ISNUMBER(SEARCH("ELECTRICAL",K19)),"Electrical","Other"))))))</f>
        <v/>
      </c>
      <c r="V19" s="9" t="n">
        <f aca="false">AVERAGEIFS(G:G,B:B,B19,H:H,0)</f>
        <v>3.53586206896552</v>
      </c>
      <c r="W19" s="9" t="n">
        <f aca="false">IF(P19=1,MAX(0,V19-G19),0)</f>
        <v>0</v>
      </c>
    </row>
    <row r="20" customFormat="false" ht="15" hidden="false" customHeight="false" outlineLevel="0" collapsed="false">
      <c r="A20" s="8" t="n">
        <v>46181</v>
      </c>
      <c r="B20" s="9" t="n">
        <v>5</v>
      </c>
      <c r="C20" s="9" t="str">
        <f aca="false">"Unit "&amp;B20</f>
        <v>Unit 5</v>
      </c>
      <c r="D20" s="9"/>
      <c r="E20" s="9" t="n">
        <v>210</v>
      </c>
      <c r="F20" s="9" t="n">
        <v>4</v>
      </c>
      <c r="G20" s="9" t="n">
        <v>3.85</v>
      </c>
      <c r="H20" s="9" t="n">
        <v>0</v>
      </c>
      <c r="I20" s="9"/>
      <c r="J20" s="9"/>
      <c r="K20" s="9"/>
      <c r="L20" s="9" t="n">
        <f aca="false">E20*24/1000</f>
        <v>5.04</v>
      </c>
      <c r="M20" s="10" t="n">
        <f aca="false">G20/L20</f>
        <v>0.763888888888889</v>
      </c>
      <c r="N20" s="9" t="n">
        <f aca="false">G20-F20</f>
        <v>-0.15</v>
      </c>
      <c r="O20" s="10" t="n">
        <f aca="false">IF(F20=0,"",G20/F20)</f>
        <v>0.9625</v>
      </c>
      <c r="P20" s="9" t="n">
        <f aca="false">IF(H20&gt;0,1,0)</f>
        <v>0</v>
      </c>
      <c r="Q20" s="9" t="n">
        <f aca="false">IF(G20=0,1,0)</f>
        <v>0</v>
      </c>
      <c r="R20" s="9" t="str">
        <f aca="false">TEXT(A20,"mmm")</f>
        <v>Jun</v>
      </c>
      <c r="S20" s="9" t="n">
        <f aca="false">WEEKNUM(A20,2)</f>
        <v>24</v>
      </c>
      <c r="T20" s="9" t="str">
        <f aca="false">IF(A20&lt;DATE(2026,6,30),"1-Pre-outage",IF(A20&lt;DATE(2026,7,5),"2-Transition","3-Outage-heavy"))</f>
        <v>1-Pre-outage</v>
      </c>
      <c r="U20" s="9" t="str">
        <f aca="false">IF(K20="","",IF(ISNUMBER(SEARCH("TURBINE",K20)),"Turbine",IF(ISNUMBER(SEARCH("GENERATOR",K20)),"Generator",IF(ISNUMBER(SEARCH("BOILER",K20)),"Boiler",IF(ISNUMBER(SEARCH("AIR PREHEATER",K20)),"Auxiliary",IF(ISNUMBER(SEARCH("ELECTRICAL",K20)),"Electrical","Other"))))))</f>
        <v/>
      </c>
      <c r="V20" s="9" t="n">
        <f aca="false">AVERAGEIFS(G:G,B:B,B20,H:H,0)</f>
        <v>3.98888888888889</v>
      </c>
      <c r="W20" s="9" t="n">
        <f aca="false">IF(P20=1,MAX(0,V20-G20),0)</f>
        <v>0</v>
      </c>
    </row>
    <row r="21" customFormat="false" ht="15" hidden="false" customHeight="false" outlineLevel="0" collapsed="false">
      <c r="A21" s="8" t="n">
        <v>46181</v>
      </c>
      <c r="B21" s="9" t="n">
        <v>6</v>
      </c>
      <c r="C21" s="9" t="str">
        <f aca="false">"Unit "&amp;B21</f>
        <v>Unit 6</v>
      </c>
      <c r="D21" s="9"/>
      <c r="E21" s="9" t="n">
        <v>195</v>
      </c>
      <c r="F21" s="9" t="n">
        <v>4.1</v>
      </c>
      <c r="G21" s="9" t="n">
        <v>3.84</v>
      </c>
      <c r="H21" s="9" t="n">
        <v>0</v>
      </c>
      <c r="I21" s="9"/>
      <c r="J21" s="9"/>
      <c r="K21" s="9"/>
      <c r="L21" s="9" t="n">
        <f aca="false">E21*24/1000</f>
        <v>4.68</v>
      </c>
      <c r="M21" s="10" t="n">
        <f aca="false">G21/L21</f>
        <v>0.820512820512821</v>
      </c>
      <c r="N21" s="9" t="n">
        <f aca="false">G21-F21</f>
        <v>-0.26</v>
      </c>
      <c r="O21" s="10" t="n">
        <f aca="false">IF(F21=0,"",G21/F21)</f>
        <v>0.936585365853659</v>
      </c>
      <c r="P21" s="9" t="n">
        <f aca="false">IF(H21&gt;0,1,0)</f>
        <v>0</v>
      </c>
      <c r="Q21" s="9" t="n">
        <f aca="false">IF(G21=0,1,0)</f>
        <v>0</v>
      </c>
      <c r="R21" s="9" t="str">
        <f aca="false">TEXT(A21,"mmm")</f>
        <v>Jun</v>
      </c>
      <c r="S21" s="9" t="n">
        <f aca="false">WEEKNUM(A21,2)</f>
        <v>24</v>
      </c>
      <c r="T21" s="9" t="str">
        <f aca="false">IF(A21&lt;DATE(2026,6,30),"1-Pre-outage",IF(A21&lt;DATE(2026,7,5),"2-Transition","3-Outage-heavy"))</f>
        <v>1-Pre-outage</v>
      </c>
      <c r="U21" s="9" t="str">
        <f aca="false">IF(K21="","",IF(ISNUMBER(SEARCH("TURBINE",K21)),"Turbine",IF(ISNUMBER(SEARCH("GENERATOR",K21)),"Generator",IF(ISNUMBER(SEARCH("BOILER",K21)),"Boiler",IF(ISNUMBER(SEARCH("AIR PREHEATER",K21)),"Auxiliary",IF(ISNUMBER(SEARCH("ELECTRICAL",K21)),"Electrical","Other"))))))</f>
        <v/>
      </c>
      <c r="V21" s="9" t="n">
        <f aca="false">AVERAGEIFS(G:G,B:B,B21,H:H,0)</f>
        <v>3.85377777777778</v>
      </c>
      <c r="W21" s="9" t="n">
        <f aca="false">IF(P21=1,MAX(0,V21-G21),0)</f>
        <v>0</v>
      </c>
    </row>
    <row r="22" customFormat="false" ht="15" hidden="false" customHeight="false" outlineLevel="0" collapsed="false">
      <c r="A22" s="8" t="n">
        <v>46181</v>
      </c>
      <c r="B22" s="9" t="n">
        <v>7</v>
      </c>
      <c r="C22" s="9" t="str">
        <f aca="false">"Unit "&amp;B22</f>
        <v>Unit 7</v>
      </c>
      <c r="D22" s="9"/>
      <c r="E22" s="9" t="n">
        <v>195</v>
      </c>
      <c r="F22" s="9" t="n">
        <v>4.1</v>
      </c>
      <c r="G22" s="9" t="n">
        <v>3.83</v>
      </c>
      <c r="H22" s="9" t="n">
        <v>0</v>
      </c>
      <c r="I22" s="9"/>
      <c r="J22" s="9"/>
      <c r="K22" s="9"/>
      <c r="L22" s="9" t="n">
        <f aca="false">E22*24/1000</f>
        <v>4.68</v>
      </c>
      <c r="M22" s="10" t="n">
        <f aca="false">G22/L22</f>
        <v>0.818376068376069</v>
      </c>
      <c r="N22" s="9" t="n">
        <f aca="false">G22-F22</f>
        <v>-0.27</v>
      </c>
      <c r="O22" s="10" t="n">
        <f aca="false">IF(F22=0,"",G22/F22)</f>
        <v>0.934146341463415</v>
      </c>
      <c r="P22" s="9" t="n">
        <f aca="false">IF(H22&gt;0,1,0)</f>
        <v>0</v>
      </c>
      <c r="Q22" s="9" t="n">
        <f aca="false">IF(G22=0,1,0)</f>
        <v>0</v>
      </c>
      <c r="R22" s="9" t="str">
        <f aca="false">TEXT(A22,"mmm")</f>
        <v>Jun</v>
      </c>
      <c r="S22" s="9" t="n">
        <f aca="false">WEEKNUM(A22,2)</f>
        <v>24</v>
      </c>
      <c r="T22" s="9" t="str">
        <f aca="false">IF(A22&lt;DATE(2026,6,30),"1-Pre-outage",IF(A22&lt;DATE(2026,7,5),"2-Transition","3-Outage-heavy"))</f>
        <v>1-Pre-outage</v>
      </c>
      <c r="U22" s="9" t="str">
        <f aca="false">IF(K22="","",IF(ISNUMBER(SEARCH("TURBINE",K22)),"Turbine",IF(ISNUMBER(SEARCH("GENERATOR",K22)),"Generator",IF(ISNUMBER(SEARCH("BOILER",K22)),"Boiler",IF(ISNUMBER(SEARCH("AIR PREHEATER",K22)),"Auxiliary",IF(ISNUMBER(SEARCH("ELECTRICAL",K22)),"Electrical","Other"))))))</f>
        <v/>
      </c>
      <c r="V22" s="9" t="n">
        <f aca="false">AVERAGEIFS(G:G,B:B,B22,H:H,0)</f>
        <v>3.98375</v>
      </c>
      <c r="W22" s="9" t="n">
        <f aca="false">IF(P22=1,MAX(0,V22-G22),0)</f>
        <v>0</v>
      </c>
    </row>
    <row r="23" customFormat="false" ht="15" hidden="false" customHeight="false" outlineLevel="0" collapsed="false">
      <c r="A23" s="8" t="n">
        <v>46182</v>
      </c>
      <c r="B23" s="9" t="n">
        <v>1</v>
      </c>
      <c r="C23" s="9" t="str">
        <f aca="false">"Unit "&amp;B23</f>
        <v>Unit 1</v>
      </c>
      <c r="D23" s="9"/>
      <c r="E23" s="9" t="n">
        <v>110</v>
      </c>
      <c r="F23" s="9" t="n">
        <v>1.93</v>
      </c>
      <c r="G23" s="9" t="n">
        <v>1.63</v>
      </c>
      <c r="H23" s="9" t="n">
        <v>0</v>
      </c>
      <c r="I23" s="9"/>
      <c r="J23" s="9"/>
      <c r="K23" s="9"/>
      <c r="L23" s="9" t="n">
        <f aca="false">E23*24/1000</f>
        <v>2.64</v>
      </c>
      <c r="M23" s="10" t="n">
        <f aca="false">G23/L23</f>
        <v>0.617424242424242</v>
      </c>
      <c r="N23" s="9" t="n">
        <f aca="false">G23-F23</f>
        <v>-0.3</v>
      </c>
      <c r="O23" s="10" t="n">
        <f aca="false">IF(F23=0,"",G23/F23)</f>
        <v>0.844559585492228</v>
      </c>
      <c r="P23" s="9" t="n">
        <f aca="false">IF(H23&gt;0,1,0)</f>
        <v>0</v>
      </c>
      <c r="Q23" s="9" t="n">
        <f aca="false">IF(G23=0,1,0)</f>
        <v>0</v>
      </c>
      <c r="R23" s="9" t="str">
        <f aca="false">TEXT(A23,"mmm")</f>
        <v>Jun</v>
      </c>
      <c r="S23" s="9" t="n">
        <f aca="false">WEEKNUM(A23,2)</f>
        <v>24</v>
      </c>
      <c r="T23" s="9" t="str">
        <f aca="false">IF(A23&lt;DATE(2026,6,30),"1-Pre-outage",IF(A23&lt;DATE(2026,7,5),"2-Transition","3-Outage-heavy"))</f>
        <v>1-Pre-outage</v>
      </c>
      <c r="U23" s="9" t="str">
        <f aca="false">IF(K23="","",IF(ISNUMBER(SEARCH("TURBINE",K23)),"Turbine",IF(ISNUMBER(SEARCH("GENERATOR",K23)),"Generator",IF(ISNUMBER(SEARCH("BOILER",K23)),"Boiler",IF(ISNUMBER(SEARCH("AIR PREHEATER",K23)),"Auxiliary",IF(ISNUMBER(SEARCH("ELECTRICAL",K23)),"Electrical","Other"))))))</f>
        <v/>
      </c>
      <c r="V23" s="9" t="n">
        <f aca="false">AVERAGEIFS(G:G,B:B,B23,H:H,0)</f>
        <v>1.61181818181818</v>
      </c>
      <c r="W23" s="9" t="n">
        <f aca="false">IF(P23=1,MAX(0,V23-G23),0)</f>
        <v>0</v>
      </c>
    </row>
    <row r="24" customFormat="false" ht="15" hidden="false" customHeight="false" outlineLevel="0" collapsed="false">
      <c r="A24" s="8" t="n">
        <v>46182</v>
      </c>
      <c r="B24" s="9" t="n">
        <v>2</v>
      </c>
      <c r="C24" s="9" t="str">
        <f aca="false">"Unit "&amp;B24</f>
        <v>Unit 2</v>
      </c>
      <c r="D24" s="9"/>
      <c r="E24" s="9" t="n">
        <v>110</v>
      </c>
      <c r="F24" s="9" t="n">
        <v>1.93</v>
      </c>
      <c r="G24" s="9" t="n">
        <v>1.74</v>
      </c>
      <c r="H24" s="9" t="n">
        <v>0</v>
      </c>
      <c r="I24" s="9"/>
      <c r="J24" s="9"/>
      <c r="K24" s="9"/>
      <c r="L24" s="9" t="n">
        <f aca="false">E24*24/1000</f>
        <v>2.64</v>
      </c>
      <c r="M24" s="10" t="n">
        <f aca="false">G24/L24</f>
        <v>0.659090909090909</v>
      </c>
      <c r="N24" s="9" t="n">
        <f aca="false">G24-F24</f>
        <v>-0.19</v>
      </c>
      <c r="O24" s="10" t="n">
        <f aca="false">IF(F24=0,"",G24/F24)</f>
        <v>0.901554404145078</v>
      </c>
      <c r="P24" s="9" t="n">
        <f aca="false">IF(H24&gt;0,1,0)</f>
        <v>0</v>
      </c>
      <c r="Q24" s="9" t="n">
        <f aca="false">IF(G24=0,1,0)</f>
        <v>0</v>
      </c>
      <c r="R24" s="9" t="str">
        <f aca="false">TEXT(A24,"mmm")</f>
        <v>Jun</v>
      </c>
      <c r="S24" s="9" t="n">
        <f aca="false">WEEKNUM(A24,2)</f>
        <v>24</v>
      </c>
      <c r="T24" s="9" t="str">
        <f aca="false">IF(A24&lt;DATE(2026,6,30),"1-Pre-outage",IF(A24&lt;DATE(2026,7,5),"2-Transition","3-Outage-heavy"))</f>
        <v>1-Pre-outage</v>
      </c>
      <c r="U24" s="9" t="str">
        <f aca="false">IF(K24="","",IF(ISNUMBER(SEARCH("TURBINE",K24)),"Turbine",IF(ISNUMBER(SEARCH("GENERATOR",K24)),"Generator",IF(ISNUMBER(SEARCH("BOILER",K24)),"Boiler",IF(ISNUMBER(SEARCH("AIR PREHEATER",K24)),"Auxiliary",IF(ISNUMBER(SEARCH("ELECTRICAL",K24)),"Electrical","Other"))))))</f>
        <v/>
      </c>
      <c r="V24" s="9" t="n">
        <f aca="false">AVERAGEIFS(G:G,B:B,B24,H:H,0)</f>
        <v>1.67955555555556</v>
      </c>
      <c r="W24" s="9" t="n">
        <f aca="false">IF(P24=1,MAX(0,V24-G24),0)</f>
        <v>0</v>
      </c>
    </row>
    <row r="25" customFormat="false" ht="15" hidden="false" customHeight="false" outlineLevel="0" collapsed="false">
      <c r="A25" s="8" t="n">
        <v>46182</v>
      </c>
      <c r="B25" s="9" t="n">
        <v>3</v>
      </c>
      <c r="C25" s="9" t="str">
        <f aca="false">"Unit "&amp;B25</f>
        <v>Unit 3</v>
      </c>
      <c r="D25" s="9"/>
      <c r="E25" s="9" t="n">
        <v>210</v>
      </c>
      <c r="F25" s="9" t="n">
        <v>3.9</v>
      </c>
      <c r="G25" s="9" t="n">
        <v>3.72</v>
      </c>
      <c r="H25" s="9" t="n">
        <v>0</v>
      </c>
      <c r="I25" s="9"/>
      <c r="J25" s="9"/>
      <c r="K25" s="9"/>
      <c r="L25" s="9" t="n">
        <f aca="false">E25*24/1000</f>
        <v>5.04</v>
      </c>
      <c r="M25" s="10" t="n">
        <f aca="false">G25/L25</f>
        <v>0.738095238095238</v>
      </c>
      <c r="N25" s="9" t="n">
        <f aca="false">G25-F25</f>
        <v>-0.18</v>
      </c>
      <c r="O25" s="10" t="n">
        <f aca="false">IF(F25=0,"",G25/F25)</f>
        <v>0.953846153846154</v>
      </c>
      <c r="P25" s="9" t="n">
        <f aca="false">IF(H25&gt;0,1,0)</f>
        <v>0</v>
      </c>
      <c r="Q25" s="9" t="n">
        <f aca="false">IF(G25=0,1,0)</f>
        <v>0</v>
      </c>
      <c r="R25" s="9" t="str">
        <f aca="false">TEXT(A25,"mmm")</f>
        <v>Jun</v>
      </c>
      <c r="S25" s="9" t="n">
        <f aca="false">WEEKNUM(A25,2)</f>
        <v>24</v>
      </c>
      <c r="T25" s="9" t="str">
        <f aca="false">IF(A25&lt;DATE(2026,6,30),"1-Pre-outage",IF(A25&lt;DATE(2026,7,5),"2-Transition","3-Outage-heavy"))</f>
        <v>1-Pre-outage</v>
      </c>
      <c r="U25" s="9" t="str">
        <f aca="false">IF(K25="","",IF(ISNUMBER(SEARCH("TURBINE",K25)),"Turbine",IF(ISNUMBER(SEARCH("GENERATOR",K25)),"Generator",IF(ISNUMBER(SEARCH("BOILER",K25)),"Boiler",IF(ISNUMBER(SEARCH("AIR PREHEATER",K25)),"Auxiliary",IF(ISNUMBER(SEARCH("ELECTRICAL",K25)),"Electrical","Other"))))))</f>
        <v/>
      </c>
      <c r="V25" s="9" t="n">
        <f aca="false">AVERAGEIFS(G:G,B:B,B25,H:H,0)</f>
        <v>3.72697674418605</v>
      </c>
      <c r="W25" s="9" t="n">
        <f aca="false">IF(P25=1,MAX(0,V25-G25),0)</f>
        <v>0</v>
      </c>
    </row>
    <row r="26" customFormat="false" ht="15" hidden="false" customHeight="false" outlineLevel="0" collapsed="false">
      <c r="A26" s="8" t="n">
        <v>46182</v>
      </c>
      <c r="B26" s="9" t="n">
        <v>4</v>
      </c>
      <c r="C26" s="9" t="str">
        <f aca="false">"Unit "&amp;B26</f>
        <v>Unit 4</v>
      </c>
      <c r="D26" s="9"/>
      <c r="E26" s="9" t="n">
        <v>210</v>
      </c>
      <c r="F26" s="9" t="n">
        <v>4</v>
      </c>
      <c r="G26" s="9" t="n">
        <v>3.81</v>
      </c>
      <c r="H26" s="9" t="n">
        <v>0</v>
      </c>
      <c r="I26" s="9"/>
      <c r="J26" s="9"/>
      <c r="K26" s="9"/>
      <c r="L26" s="9" t="n">
        <f aca="false">E26*24/1000</f>
        <v>5.04</v>
      </c>
      <c r="M26" s="10" t="n">
        <f aca="false">G26/L26</f>
        <v>0.755952380952381</v>
      </c>
      <c r="N26" s="9" t="n">
        <f aca="false">G26-F26</f>
        <v>-0.19</v>
      </c>
      <c r="O26" s="10" t="n">
        <f aca="false">IF(F26=0,"",G26/F26)</f>
        <v>0.9525</v>
      </c>
      <c r="P26" s="9" t="n">
        <f aca="false">IF(H26&gt;0,1,0)</f>
        <v>0</v>
      </c>
      <c r="Q26" s="9" t="n">
        <f aca="false">IF(G26=0,1,0)</f>
        <v>0</v>
      </c>
      <c r="R26" s="9" t="str">
        <f aca="false">TEXT(A26,"mmm")</f>
        <v>Jun</v>
      </c>
      <c r="S26" s="9" t="n">
        <f aca="false">WEEKNUM(A26,2)</f>
        <v>24</v>
      </c>
      <c r="T26" s="9" t="str">
        <f aca="false">IF(A26&lt;DATE(2026,6,30),"1-Pre-outage",IF(A26&lt;DATE(2026,7,5),"2-Transition","3-Outage-heavy"))</f>
        <v>1-Pre-outage</v>
      </c>
      <c r="U26" s="9" t="str">
        <f aca="false">IF(K26="","",IF(ISNUMBER(SEARCH("TURBINE",K26)),"Turbine",IF(ISNUMBER(SEARCH("GENERATOR",K26)),"Generator",IF(ISNUMBER(SEARCH("BOILER",K26)),"Boiler",IF(ISNUMBER(SEARCH("AIR PREHEATER",K26)),"Auxiliary",IF(ISNUMBER(SEARCH("ELECTRICAL",K26)),"Electrical","Other"))))))</f>
        <v/>
      </c>
      <c r="V26" s="9" t="n">
        <f aca="false">AVERAGEIFS(G:G,B:B,B26,H:H,0)</f>
        <v>3.53586206896552</v>
      </c>
      <c r="W26" s="9" t="n">
        <f aca="false">IF(P26=1,MAX(0,V26-G26),0)</f>
        <v>0</v>
      </c>
    </row>
    <row r="27" customFormat="false" ht="15" hidden="false" customHeight="false" outlineLevel="0" collapsed="false">
      <c r="A27" s="8" t="n">
        <v>46182</v>
      </c>
      <c r="B27" s="9" t="n">
        <v>5</v>
      </c>
      <c r="C27" s="9" t="str">
        <f aca="false">"Unit "&amp;B27</f>
        <v>Unit 5</v>
      </c>
      <c r="D27" s="9"/>
      <c r="E27" s="9" t="n">
        <v>210</v>
      </c>
      <c r="F27" s="9" t="n">
        <v>4</v>
      </c>
      <c r="G27" s="9" t="n">
        <v>3.89</v>
      </c>
      <c r="H27" s="9" t="n">
        <v>0</v>
      </c>
      <c r="I27" s="9"/>
      <c r="J27" s="9"/>
      <c r="K27" s="9"/>
      <c r="L27" s="9" t="n">
        <f aca="false">E27*24/1000</f>
        <v>5.04</v>
      </c>
      <c r="M27" s="10" t="n">
        <f aca="false">G27/L27</f>
        <v>0.771825396825397</v>
      </c>
      <c r="N27" s="9" t="n">
        <f aca="false">G27-F27</f>
        <v>-0.11</v>
      </c>
      <c r="O27" s="10" t="n">
        <f aca="false">IF(F27=0,"",G27/F27)</f>
        <v>0.9725</v>
      </c>
      <c r="P27" s="9" t="n">
        <f aca="false">IF(H27&gt;0,1,0)</f>
        <v>0</v>
      </c>
      <c r="Q27" s="9" t="n">
        <f aca="false">IF(G27=0,1,0)</f>
        <v>0</v>
      </c>
      <c r="R27" s="9" t="str">
        <f aca="false">TEXT(A27,"mmm")</f>
        <v>Jun</v>
      </c>
      <c r="S27" s="9" t="n">
        <f aca="false">WEEKNUM(A27,2)</f>
        <v>24</v>
      </c>
      <c r="T27" s="9" t="str">
        <f aca="false">IF(A27&lt;DATE(2026,6,30),"1-Pre-outage",IF(A27&lt;DATE(2026,7,5),"2-Transition","3-Outage-heavy"))</f>
        <v>1-Pre-outage</v>
      </c>
      <c r="U27" s="9" t="str">
        <f aca="false">IF(K27="","",IF(ISNUMBER(SEARCH("TURBINE",K27)),"Turbine",IF(ISNUMBER(SEARCH("GENERATOR",K27)),"Generator",IF(ISNUMBER(SEARCH("BOILER",K27)),"Boiler",IF(ISNUMBER(SEARCH("AIR PREHEATER",K27)),"Auxiliary",IF(ISNUMBER(SEARCH("ELECTRICAL",K27)),"Electrical","Other"))))))</f>
        <v/>
      </c>
      <c r="V27" s="9" t="n">
        <f aca="false">AVERAGEIFS(G:G,B:B,B27,H:H,0)</f>
        <v>3.98888888888889</v>
      </c>
      <c r="W27" s="9" t="n">
        <f aca="false">IF(P27=1,MAX(0,V27-G27),0)</f>
        <v>0</v>
      </c>
    </row>
    <row r="28" customFormat="false" ht="15" hidden="false" customHeight="false" outlineLevel="0" collapsed="false">
      <c r="A28" s="8" t="n">
        <v>46182</v>
      </c>
      <c r="B28" s="9" t="n">
        <v>6</v>
      </c>
      <c r="C28" s="9" t="str">
        <f aca="false">"Unit "&amp;B28</f>
        <v>Unit 6</v>
      </c>
      <c r="D28" s="9"/>
      <c r="E28" s="9" t="n">
        <v>195</v>
      </c>
      <c r="F28" s="9" t="n">
        <v>4.1</v>
      </c>
      <c r="G28" s="9" t="n">
        <v>3.85</v>
      </c>
      <c r="H28" s="9" t="n">
        <v>0</v>
      </c>
      <c r="I28" s="9"/>
      <c r="J28" s="9"/>
      <c r="K28" s="9"/>
      <c r="L28" s="9" t="n">
        <f aca="false">E28*24/1000</f>
        <v>4.68</v>
      </c>
      <c r="M28" s="10" t="n">
        <f aca="false">G28/L28</f>
        <v>0.822649572649573</v>
      </c>
      <c r="N28" s="9" t="n">
        <f aca="false">G28-F28</f>
        <v>-0.25</v>
      </c>
      <c r="O28" s="10" t="n">
        <f aca="false">IF(F28=0,"",G28/F28)</f>
        <v>0.939024390243903</v>
      </c>
      <c r="P28" s="9" t="n">
        <f aca="false">IF(H28&gt;0,1,0)</f>
        <v>0</v>
      </c>
      <c r="Q28" s="9" t="n">
        <f aca="false">IF(G28=0,1,0)</f>
        <v>0</v>
      </c>
      <c r="R28" s="9" t="str">
        <f aca="false">TEXT(A28,"mmm")</f>
        <v>Jun</v>
      </c>
      <c r="S28" s="9" t="n">
        <f aca="false">WEEKNUM(A28,2)</f>
        <v>24</v>
      </c>
      <c r="T28" s="9" t="str">
        <f aca="false">IF(A28&lt;DATE(2026,6,30),"1-Pre-outage",IF(A28&lt;DATE(2026,7,5),"2-Transition","3-Outage-heavy"))</f>
        <v>1-Pre-outage</v>
      </c>
      <c r="U28" s="9" t="str">
        <f aca="false">IF(K28="","",IF(ISNUMBER(SEARCH("TURBINE",K28)),"Turbine",IF(ISNUMBER(SEARCH("GENERATOR",K28)),"Generator",IF(ISNUMBER(SEARCH("BOILER",K28)),"Boiler",IF(ISNUMBER(SEARCH("AIR PREHEATER",K28)),"Auxiliary",IF(ISNUMBER(SEARCH("ELECTRICAL",K28)),"Electrical","Other"))))))</f>
        <v/>
      </c>
      <c r="V28" s="9" t="n">
        <f aca="false">AVERAGEIFS(G:G,B:B,B28,H:H,0)</f>
        <v>3.85377777777778</v>
      </c>
      <c r="W28" s="9" t="n">
        <f aca="false">IF(P28=1,MAX(0,V28-G28),0)</f>
        <v>0</v>
      </c>
    </row>
    <row r="29" customFormat="false" ht="15" hidden="false" customHeight="false" outlineLevel="0" collapsed="false">
      <c r="A29" s="8" t="n">
        <v>46182</v>
      </c>
      <c r="B29" s="9" t="n">
        <v>7</v>
      </c>
      <c r="C29" s="9" t="str">
        <f aca="false">"Unit "&amp;B29</f>
        <v>Unit 7</v>
      </c>
      <c r="D29" s="9"/>
      <c r="E29" s="9" t="n">
        <v>195</v>
      </c>
      <c r="F29" s="9" t="n">
        <v>4.1</v>
      </c>
      <c r="G29" s="9" t="n">
        <v>3.81</v>
      </c>
      <c r="H29" s="9" t="n">
        <v>0</v>
      </c>
      <c r="I29" s="9"/>
      <c r="J29" s="9"/>
      <c r="K29" s="9"/>
      <c r="L29" s="9" t="n">
        <f aca="false">E29*24/1000</f>
        <v>4.68</v>
      </c>
      <c r="M29" s="10" t="n">
        <f aca="false">G29/L29</f>
        <v>0.814102564102564</v>
      </c>
      <c r="N29" s="9" t="n">
        <f aca="false">G29-F29</f>
        <v>-0.29</v>
      </c>
      <c r="O29" s="10" t="n">
        <f aca="false">IF(F29=0,"",G29/F29)</f>
        <v>0.929268292682927</v>
      </c>
      <c r="P29" s="9" t="n">
        <f aca="false">IF(H29&gt;0,1,0)</f>
        <v>0</v>
      </c>
      <c r="Q29" s="9" t="n">
        <f aca="false">IF(G29=0,1,0)</f>
        <v>0</v>
      </c>
      <c r="R29" s="9" t="str">
        <f aca="false">TEXT(A29,"mmm")</f>
        <v>Jun</v>
      </c>
      <c r="S29" s="9" t="n">
        <f aca="false">WEEKNUM(A29,2)</f>
        <v>24</v>
      </c>
      <c r="T29" s="9" t="str">
        <f aca="false">IF(A29&lt;DATE(2026,6,30),"1-Pre-outage",IF(A29&lt;DATE(2026,7,5),"2-Transition","3-Outage-heavy"))</f>
        <v>1-Pre-outage</v>
      </c>
      <c r="U29" s="9" t="str">
        <f aca="false">IF(K29="","",IF(ISNUMBER(SEARCH("TURBINE",K29)),"Turbine",IF(ISNUMBER(SEARCH("GENERATOR",K29)),"Generator",IF(ISNUMBER(SEARCH("BOILER",K29)),"Boiler",IF(ISNUMBER(SEARCH("AIR PREHEATER",K29)),"Auxiliary",IF(ISNUMBER(SEARCH("ELECTRICAL",K29)),"Electrical","Other"))))))</f>
        <v/>
      </c>
      <c r="V29" s="9" t="n">
        <f aca="false">AVERAGEIFS(G:G,B:B,B29,H:H,0)</f>
        <v>3.98375</v>
      </c>
      <c r="W29" s="9" t="n">
        <f aca="false">IF(P29=1,MAX(0,V29-G29),0)</f>
        <v>0</v>
      </c>
    </row>
    <row r="30" customFormat="false" ht="15" hidden="false" customHeight="false" outlineLevel="0" collapsed="false">
      <c r="A30" s="8" t="n">
        <v>46183</v>
      </c>
      <c r="B30" s="9" t="n">
        <v>1</v>
      </c>
      <c r="C30" s="9" t="str">
        <f aca="false">"Unit "&amp;B30</f>
        <v>Unit 1</v>
      </c>
      <c r="D30" s="9"/>
      <c r="E30" s="9" t="n">
        <v>110</v>
      </c>
      <c r="F30" s="9" t="n">
        <v>1.93</v>
      </c>
      <c r="G30" s="9" t="n">
        <v>1.65</v>
      </c>
      <c r="H30" s="9" t="n">
        <v>0</v>
      </c>
      <c r="I30" s="9"/>
      <c r="J30" s="9"/>
      <c r="K30" s="9"/>
      <c r="L30" s="9" t="n">
        <f aca="false">E30*24/1000</f>
        <v>2.64</v>
      </c>
      <c r="M30" s="10" t="n">
        <f aca="false">G30/L30</f>
        <v>0.625</v>
      </c>
      <c r="N30" s="9" t="n">
        <f aca="false">G30-F30</f>
        <v>-0.28</v>
      </c>
      <c r="O30" s="10" t="n">
        <f aca="false">IF(F30=0,"",G30/F30)</f>
        <v>0.854922279792746</v>
      </c>
      <c r="P30" s="9" t="n">
        <f aca="false">IF(H30&gt;0,1,0)</f>
        <v>0</v>
      </c>
      <c r="Q30" s="9" t="n">
        <f aca="false">IF(G30=0,1,0)</f>
        <v>0</v>
      </c>
      <c r="R30" s="9" t="str">
        <f aca="false">TEXT(A30,"mmm")</f>
        <v>Jun</v>
      </c>
      <c r="S30" s="9" t="n">
        <f aca="false">WEEKNUM(A30,2)</f>
        <v>24</v>
      </c>
      <c r="T30" s="9" t="str">
        <f aca="false">IF(A30&lt;DATE(2026,6,30),"1-Pre-outage",IF(A30&lt;DATE(2026,7,5),"2-Transition","3-Outage-heavy"))</f>
        <v>1-Pre-outage</v>
      </c>
      <c r="U30" s="9" t="str">
        <f aca="false">IF(K30="","",IF(ISNUMBER(SEARCH("TURBINE",K30)),"Turbine",IF(ISNUMBER(SEARCH("GENERATOR",K30)),"Generator",IF(ISNUMBER(SEARCH("BOILER",K30)),"Boiler",IF(ISNUMBER(SEARCH("AIR PREHEATER",K30)),"Auxiliary",IF(ISNUMBER(SEARCH("ELECTRICAL",K30)),"Electrical","Other"))))))</f>
        <v/>
      </c>
      <c r="V30" s="9" t="n">
        <f aca="false">AVERAGEIFS(G:G,B:B,B30,H:H,0)</f>
        <v>1.61181818181818</v>
      </c>
      <c r="W30" s="9" t="n">
        <f aca="false">IF(P30=1,MAX(0,V30-G30),0)</f>
        <v>0</v>
      </c>
    </row>
    <row r="31" customFormat="false" ht="15" hidden="false" customHeight="false" outlineLevel="0" collapsed="false">
      <c r="A31" s="8" t="n">
        <v>46183</v>
      </c>
      <c r="B31" s="9" t="n">
        <v>2</v>
      </c>
      <c r="C31" s="9" t="str">
        <f aca="false">"Unit "&amp;B31</f>
        <v>Unit 2</v>
      </c>
      <c r="D31" s="9"/>
      <c r="E31" s="9" t="n">
        <v>110</v>
      </c>
      <c r="F31" s="9" t="n">
        <v>1.93</v>
      </c>
      <c r="G31" s="9" t="n">
        <v>1.71</v>
      </c>
      <c r="H31" s="9" t="n">
        <v>0</v>
      </c>
      <c r="I31" s="9"/>
      <c r="J31" s="9"/>
      <c r="K31" s="9"/>
      <c r="L31" s="9" t="n">
        <f aca="false">E31*24/1000</f>
        <v>2.64</v>
      </c>
      <c r="M31" s="10" t="n">
        <f aca="false">G31/L31</f>
        <v>0.647727272727273</v>
      </c>
      <c r="N31" s="9" t="n">
        <f aca="false">G31-F31</f>
        <v>-0.22</v>
      </c>
      <c r="O31" s="10" t="n">
        <f aca="false">IF(F31=0,"",G31/F31)</f>
        <v>0.886010362694301</v>
      </c>
      <c r="P31" s="9" t="n">
        <f aca="false">IF(H31&gt;0,1,0)</f>
        <v>0</v>
      </c>
      <c r="Q31" s="9" t="n">
        <f aca="false">IF(G31=0,1,0)</f>
        <v>0</v>
      </c>
      <c r="R31" s="9" t="str">
        <f aca="false">TEXT(A31,"mmm")</f>
        <v>Jun</v>
      </c>
      <c r="S31" s="9" t="n">
        <f aca="false">WEEKNUM(A31,2)</f>
        <v>24</v>
      </c>
      <c r="T31" s="9" t="str">
        <f aca="false">IF(A31&lt;DATE(2026,6,30),"1-Pre-outage",IF(A31&lt;DATE(2026,7,5),"2-Transition","3-Outage-heavy"))</f>
        <v>1-Pre-outage</v>
      </c>
      <c r="U31" s="9" t="str">
        <f aca="false">IF(K31="","",IF(ISNUMBER(SEARCH("TURBINE",K31)),"Turbine",IF(ISNUMBER(SEARCH("GENERATOR",K31)),"Generator",IF(ISNUMBER(SEARCH("BOILER",K31)),"Boiler",IF(ISNUMBER(SEARCH("AIR PREHEATER",K31)),"Auxiliary",IF(ISNUMBER(SEARCH("ELECTRICAL",K31)),"Electrical","Other"))))))</f>
        <v/>
      </c>
      <c r="V31" s="9" t="n">
        <f aca="false">AVERAGEIFS(G:G,B:B,B31,H:H,0)</f>
        <v>1.67955555555556</v>
      </c>
      <c r="W31" s="9" t="n">
        <f aca="false">IF(P31=1,MAX(0,V31-G31),0)</f>
        <v>0</v>
      </c>
    </row>
    <row r="32" customFormat="false" ht="15" hidden="false" customHeight="false" outlineLevel="0" collapsed="false">
      <c r="A32" s="8" t="n">
        <v>46183</v>
      </c>
      <c r="B32" s="9" t="n">
        <v>3</v>
      </c>
      <c r="C32" s="9" t="str">
        <f aca="false">"Unit "&amp;B32</f>
        <v>Unit 3</v>
      </c>
      <c r="D32" s="9"/>
      <c r="E32" s="9" t="n">
        <v>210</v>
      </c>
      <c r="F32" s="9" t="n">
        <v>3.9</v>
      </c>
      <c r="G32" s="9" t="n">
        <v>3.74</v>
      </c>
      <c r="H32" s="9" t="n">
        <v>0</v>
      </c>
      <c r="I32" s="9"/>
      <c r="J32" s="9"/>
      <c r="K32" s="9"/>
      <c r="L32" s="9" t="n">
        <f aca="false">E32*24/1000</f>
        <v>5.04</v>
      </c>
      <c r="M32" s="10" t="n">
        <f aca="false">G32/L32</f>
        <v>0.742063492063492</v>
      </c>
      <c r="N32" s="9" t="n">
        <f aca="false">G32-F32</f>
        <v>-0.16</v>
      </c>
      <c r="O32" s="10" t="n">
        <f aca="false">IF(F32=0,"",G32/F32)</f>
        <v>0.958974358974359</v>
      </c>
      <c r="P32" s="9" t="n">
        <f aca="false">IF(H32&gt;0,1,0)</f>
        <v>0</v>
      </c>
      <c r="Q32" s="9" t="n">
        <f aca="false">IF(G32=0,1,0)</f>
        <v>0</v>
      </c>
      <c r="R32" s="9" t="str">
        <f aca="false">TEXT(A32,"mmm")</f>
        <v>Jun</v>
      </c>
      <c r="S32" s="9" t="n">
        <f aca="false">WEEKNUM(A32,2)</f>
        <v>24</v>
      </c>
      <c r="T32" s="9" t="str">
        <f aca="false">IF(A32&lt;DATE(2026,6,30),"1-Pre-outage",IF(A32&lt;DATE(2026,7,5),"2-Transition","3-Outage-heavy"))</f>
        <v>1-Pre-outage</v>
      </c>
      <c r="U32" s="9" t="str">
        <f aca="false">IF(K32="","",IF(ISNUMBER(SEARCH("TURBINE",K32)),"Turbine",IF(ISNUMBER(SEARCH("GENERATOR",K32)),"Generator",IF(ISNUMBER(SEARCH("BOILER",K32)),"Boiler",IF(ISNUMBER(SEARCH("AIR PREHEATER",K32)),"Auxiliary",IF(ISNUMBER(SEARCH("ELECTRICAL",K32)),"Electrical","Other"))))))</f>
        <v/>
      </c>
      <c r="V32" s="9" t="n">
        <f aca="false">AVERAGEIFS(G:G,B:B,B32,H:H,0)</f>
        <v>3.72697674418605</v>
      </c>
      <c r="W32" s="9" t="n">
        <f aca="false">IF(P32=1,MAX(0,V32-G32),0)</f>
        <v>0</v>
      </c>
    </row>
    <row r="33" customFormat="false" ht="15" hidden="false" customHeight="false" outlineLevel="0" collapsed="false">
      <c r="A33" s="8" t="n">
        <v>46183</v>
      </c>
      <c r="B33" s="9" t="n">
        <v>4</v>
      </c>
      <c r="C33" s="9" t="str">
        <f aca="false">"Unit "&amp;B33</f>
        <v>Unit 4</v>
      </c>
      <c r="D33" s="9"/>
      <c r="E33" s="9" t="n">
        <v>210</v>
      </c>
      <c r="F33" s="9" t="n">
        <v>4</v>
      </c>
      <c r="G33" s="9" t="n">
        <v>3.69</v>
      </c>
      <c r="H33" s="9" t="n">
        <v>0</v>
      </c>
      <c r="I33" s="9"/>
      <c r="J33" s="9"/>
      <c r="K33" s="9"/>
      <c r="L33" s="9" t="n">
        <f aca="false">E33*24/1000</f>
        <v>5.04</v>
      </c>
      <c r="M33" s="10" t="n">
        <f aca="false">G33/L33</f>
        <v>0.732142857142857</v>
      </c>
      <c r="N33" s="9" t="n">
        <f aca="false">G33-F33</f>
        <v>-0.31</v>
      </c>
      <c r="O33" s="10" t="n">
        <f aca="false">IF(F33=0,"",G33/F33)</f>
        <v>0.9225</v>
      </c>
      <c r="P33" s="9" t="n">
        <f aca="false">IF(H33&gt;0,1,0)</f>
        <v>0</v>
      </c>
      <c r="Q33" s="9" t="n">
        <f aca="false">IF(G33=0,1,0)</f>
        <v>0</v>
      </c>
      <c r="R33" s="9" t="str">
        <f aca="false">TEXT(A33,"mmm")</f>
        <v>Jun</v>
      </c>
      <c r="S33" s="9" t="n">
        <f aca="false">WEEKNUM(A33,2)</f>
        <v>24</v>
      </c>
      <c r="T33" s="9" t="str">
        <f aca="false">IF(A33&lt;DATE(2026,6,30),"1-Pre-outage",IF(A33&lt;DATE(2026,7,5),"2-Transition","3-Outage-heavy"))</f>
        <v>1-Pre-outage</v>
      </c>
      <c r="U33" s="9" t="str">
        <f aca="false">IF(K33="","",IF(ISNUMBER(SEARCH("TURBINE",K33)),"Turbine",IF(ISNUMBER(SEARCH("GENERATOR",K33)),"Generator",IF(ISNUMBER(SEARCH("BOILER",K33)),"Boiler",IF(ISNUMBER(SEARCH("AIR PREHEATER",K33)),"Auxiliary",IF(ISNUMBER(SEARCH("ELECTRICAL",K33)),"Electrical","Other"))))))</f>
        <v/>
      </c>
      <c r="V33" s="9" t="n">
        <f aca="false">AVERAGEIFS(G:G,B:B,B33,H:H,0)</f>
        <v>3.53586206896552</v>
      </c>
      <c r="W33" s="9" t="n">
        <f aca="false">IF(P33=1,MAX(0,V33-G33),0)</f>
        <v>0</v>
      </c>
    </row>
    <row r="34" customFormat="false" ht="15" hidden="false" customHeight="false" outlineLevel="0" collapsed="false">
      <c r="A34" s="8" t="n">
        <v>46183</v>
      </c>
      <c r="B34" s="9" t="n">
        <v>5</v>
      </c>
      <c r="C34" s="9" t="str">
        <f aca="false">"Unit "&amp;B34</f>
        <v>Unit 5</v>
      </c>
      <c r="D34" s="9"/>
      <c r="E34" s="9" t="n">
        <v>210</v>
      </c>
      <c r="F34" s="9" t="n">
        <v>4</v>
      </c>
      <c r="G34" s="9" t="n">
        <v>3.95</v>
      </c>
      <c r="H34" s="9" t="n">
        <v>0</v>
      </c>
      <c r="I34" s="9"/>
      <c r="J34" s="9"/>
      <c r="K34" s="9"/>
      <c r="L34" s="9" t="n">
        <f aca="false">E34*24/1000</f>
        <v>5.04</v>
      </c>
      <c r="M34" s="10" t="n">
        <f aca="false">G34/L34</f>
        <v>0.783730158730159</v>
      </c>
      <c r="N34" s="9" t="n">
        <f aca="false">G34-F34</f>
        <v>-0.0499999999999998</v>
      </c>
      <c r="O34" s="10" t="n">
        <f aca="false">IF(F34=0,"",G34/F34)</f>
        <v>0.9875</v>
      </c>
      <c r="P34" s="9" t="n">
        <f aca="false">IF(H34&gt;0,1,0)</f>
        <v>0</v>
      </c>
      <c r="Q34" s="9" t="n">
        <f aca="false">IF(G34=0,1,0)</f>
        <v>0</v>
      </c>
      <c r="R34" s="9" t="str">
        <f aca="false">TEXT(A34,"mmm")</f>
        <v>Jun</v>
      </c>
      <c r="S34" s="9" t="n">
        <f aca="false">WEEKNUM(A34,2)</f>
        <v>24</v>
      </c>
      <c r="T34" s="9" t="str">
        <f aca="false">IF(A34&lt;DATE(2026,6,30),"1-Pre-outage",IF(A34&lt;DATE(2026,7,5),"2-Transition","3-Outage-heavy"))</f>
        <v>1-Pre-outage</v>
      </c>
      <c r="U34" s="9" t="str">
        <f aca="false">IF(K34="","",IF(ISNUMBER(SEARCH("TURBINE",K34)),"Turbine",IF(ISNUMBER(SEARCH("GENERATOR",K34)),"Generator",IF(ISNUMBER(SEARCH("BOILER",K34)),"Boiler",IF(ISNUMBER(SEARCH("AIR PREHEATER",K34)),"Auxiliary",IF(ISNUMBER(SEARCH("ELECTRICAL",K34)),"Electrical","Other"))))))</f>
        <v/>
      </c>
      <c r="V34" s="9" t="n">
        <f aca="false">AVERAGEIFS(G:G,B:B,B34,H:H,0)</f>
        <v>3.98888888888889</v>
      </c>
      <c r="W34" s="9" t="n">
        <f aca="false">IF(P34=1,MAX(0,V34-G34),0)</f>
        <v>0</v>
      </c>
    </row>
    <row r="35" customFormat="false" ht="15" hidden="false" customHeight="false" outlineLevel="0" collapsed="false">
      <c r="A35" s="8" t="n">
        <v>46183</v>
      </c>
      <c r="B35" s="9" t="n">
        <v>6</v>
      </c>
      <c r="C35" s="9" t="str">
        <f aca="false">"Unit "&amp;B35</f>
        <v>Unit 6</v>
      </c>
      <c r="D35" s="9"/>
      <c r="E35" s="9" t="n">
        <v>195</v>
      </c>
      <c r="F35" s="9" t="n">
        <v>4.1</v>
      </c>
      <c r="G35" s="9" t="n">
        <v>3.85</v>
      </c>
      <c r="H35" s="9" t="n">
        <v>0</v>
      </c>
      <c r="I35" s="9"/>
      <c r="J35" s="9"/>
      <c r="K35" s="9"/>
      <c r="L35" s="9" t="n">
        <f aca="false">E35*24/1000</f>
        <v>4.68</v>
      </c>
      <c r="M35" s="10" t="n">
        <f aca="false">G35/L35</f>
        <v>0.822649572649573</v>
      </c>
      <c r="N35" s="9" t="n">
        <f aca="false">G35-F35</f>
        <v>-0.25</v>
      </c>
      <c r="O35" s="10" t="n">
        <f aca="false">IF(F35=0,"",G35/F35)</f>
        <v>0.939024390243903</v>
      </c>
      <c r="P35" s="9" t="n">
        <f aca="false">IF(H35&gt;0,1,0)</f>
        <v>0</v>
      </c>
      <c r="Q35" s="9" t="n">
        <f aca="false">IF(G35=0,1,0)</f>
        <v>0</v>
      </c>
      <c r="R35" s="9" t="str">
        <f aca="false">TEXT(A35,"mmm")</f>
        <v>Jun</v>
      </c>
      <c r="S35" s="9" t="n">
        <f aca="false">WEEKNUM(A35,2)</f>
        <v>24</v>
      </c>
      <c r="T35" s="9" t="str">
        <f aca="false">IF(A35&lt;DATE(2026,6,30),"1-Pre-outage",IF(A35&lt;DATE(2026,7,5),"2-Transition","3-Outage-heavy"))</f>
        <v>1-Pre-outage</v>
      </c>
      <c r="U35" s="9" t="str">
        <f aca="false">IF(K35="","",IF(ISNUMBER(SEARCH("TURBINE",K35)),"Turbine",IF(ISNUMBER(SEARCH("GENERATOR",K35)),"Generator",IF(ISNUMBER(SEARCH("BOILER",K35)),"Boiler",IF(ISNUMBER(SEARCH("AIR PREHEATER",K35)),"Auxiliary",IF(ISNUMBER(SEARCH("ELECTRICAL",K35)),"Electrical","Other"))))))</f>
        <v/>
      </c>
      <c r="V35" s="9" t="n">
        <f aca="false">AVERAGEIFS(G:G,B:B,B35,H:H,0)</f>
        <v>3.85377777777778</v>
      </c>
      <c r="W35" s="9" t="n">
        <f aca="false">IF(P35=1,MAX(0,V35-G35),0)</f>
        <v>0</v>
      </c>
    </row>
    <row r="36" customFormat="false" ht="15" hidden="false" customHeight="false" outlineLevel="0" collapsed="false">
      <c r="A36" s="8" t="n">
        <v>46183</v>
      </c>
      <c r="B36" s="9" t="n">
        <v>7</v>
      </c>
      <c r="C36" s="9" t="str">
        <f aca="false">"Unit "&amp;B36</f>
        <v>Unit 7</v>
      </c>
      <c r="D36" s="9"/>
      <c r="E36" s="9" t="n">
        <v>195</v>
      </c>
      <c r="F36" s="9" t="n">
        <v>4.1</v>
      </c>
      <c r="G36" s="9" t="n">
        <v>4.01</v>
      </c>
      <c r="H36" s="9" t="n">
        <v>0</v>
      </c>
      <c r="I36" s="9"/>
      <c r="J36" s="9"/>
      <c r="K36" s="9"/>
      <c r="L36" s="9" t="n">
        <f aca="false">E36*24/1000</f>
        <v>4.68</v>
      </c>
      <c r="M36" s="10" t="n">
        <f aca="false">G36/L36</f>
        <v>0.856837606837607</v>
      </c>
      <c r="N36" s="9" t="n">
        <f aca="false">G36-F36</f>
        <v>-0.0899999999999999</v>
      </c>
      <c r="O36" s="10" t="n">
        <f aca="false">IF(F36=0,"",G36/F36)</f>
        <v>0.978048780487805</v>
      </c>
      <c r="P36" s="9" t="n">
        <f aca="false">IF(H36&gt;0,1,0)</f>
        <v>0</v>
      </c>
      <c r="Q36" s="9" t="n">
        <f aca="false">IF(G36=0,1,0)</f>
        <v>0</v>
      </c>
      <c r="R36" s="9" t="str">
        <f aca="false">TEXT(A36,"mmm")</f>
        <v>Jun</v>
      </c>
      <c r="S36" s="9" t="n">
        <f aca="false">WEEKNUM(A36,2)</f>
        <v>24</v>
      </c>
      <c r="T36" s="9" t="str">
        <f aca="false">IF(A36&lt;DATE(2026,6,30),"1-Pre-outage",IF(A36&lt;DATE(2026,7,5),"2-Transition","3-Outage-heavy"))</f>
        <v>1-Pre-outage</v>
      </c>
      <c r="U36" s="9" t="str">
        <f aca="false">IF(K36="","",IF(ISNUMBER(SEARCH("TURBINE",K36)),"Turbine",IF(ISNUMBER(SEARCH("GENERATOR",K36)),"Generator",IF(ISNUMBER(SEARCH("BOILER",K36)),"Boiler",IF(ISNUMBER(SEARCH("AIR PREHEATER",K36)),"Auxiliary",IF(ISNUMBER(SEARCH("ELECTRICAL",K36)),"Electrical","Other"))))))</f>
        <v/>
      </c>
      <c r="V36" s="9" t="n">
        <f aca="false">AVERAGEIFS(G:G,B:B,B36,H:H,0)</f>
        <v>3.98375</v>
      </c>
      <c r="W36" s="9" t="n">
        <f aca="false">IF(P36=1,MAX(0,V36-G36),0)</f>
        <v>0</v>
      </c>
    </row>
    <row r="37" customFormat="false" ht="15" hidden="false" customHeight="false" outlineLevel="0" collapsed="false">
      <c r="A37" s="8" t="n">
        <v>46184</v>
      </c>
      <c r="B37" s="9" t="n">
        <v>1</v>
      </c>
      <c r="C37" s="9" t="str">
        <f aca="false">"Unit "&amp;B37</f>
        <v>Unit 1</v>
      </c>
      <c r="D37" s="9"/>
      <c r="E37" s="9" t="n">
        <v>110</v>
      </c>
      <c r="F37" s="9" t="n">
        <v>1.93</v>
      </c>
      <c r="G37" s="9" t="n">
        <v>1.65</v>
      </c>
      <c r="H37" s="9" t="n">
        <v>0</v>
      </c>
      <c r="I37" s="9"/>
      <c r="J37" s="9"/>
      <c r="K37" s="9"/>
      <c r="L37" s="9" t="n">
        <f aca="false">E37*24/1000</f>
        <v>2.64</v>
      </c>
      <c r="M37" s="10" t="n">
        <f aca="false">G37/L37</f>
        <v>0.625</v>
      </c>
      <c r="N37" s="9" t="n">
        <f aca="false">G37-F37</f>
        <v>-0.28</v>
      </c>
      <c r="O37" s="10" t="n">
        <f aca="false">IF(F37=0,"",G37/F37)</f>
        <v>0.854922279792746</v>
      </c>
      <c r="P37" s="9" t="n">
        <f aca="false">IF(H37&gt;0,1,0)</f>
        <v>0</v>
      </c>
      <c r="Q37" s="9" t="n">
        <f aca="false">IF(G37=0,1,0)</f>
        <v>0</v>
      </c>
      <c r="R37" s="9" t="str">
        <f aca="false">TEXT(A37,"mmm")</f>
        <v>Jun</v>
      </c>
      <c r="S37" s="9" t="n">
        <f aca="false">WEEKNUM(A37,2)</f>
        <v>24</v>
      </c>
      <c r="T37" s="9" t="str">
        <f aca="false">IF(A37&lt;DATE(2026,6,30),"1-Pre-outage",IF(A37&lt;DATE(2026,7,5),"2-Transition","3-Outage-heavy"))</f>
        <v>1-Pre-outage</v>
      </c>
      <c r="U37" s="9" t="str">
        <f aca="false">IF(K37="","",IF(ISNUMBER(SEARCH("TURBINE",K37)),"Turbine",IF(ISNUMBER(SEARCH("GENERATOR",K37)),"Generator",IF(ISNUMBER(SEARCH("BOILER",K37)),"Boiler",IF(ISNUMBER(SEARCH("AIR PREHEATER",K37)),"Auxiliary",IF(ISNUMBER(SEARCH("ELECTRICAL",K37)),"Electrical","Other"))))))</f>
        <v/>
      </c>
      <c r="V37" s="9" t="n">
        <f aca="false">AVERAGEIFS(G:G,B:B,B37,H:H,0)</f>
        <v>1.61181818181818</v>
      </c>
      <c r="W37" s="9" t="n">
        <f aca="false">IF(P37=1,MAX(0,V37-G37),0)</f>
        <v>0</v>
      </c>
    </row>
    <row r="38" customFormat="false" ht="15" hidden="false" customHeight="false" outlineLevel="0" collapsed="false">
      <c r="A38" s="8" t="n">
        <v>46184</v>
      </c>
      <c r="B38" s="9" t="n">
        <v>2</v>
      </c>
      <c r="C38" s="9" t="str">
        <f aca="false">"Unit "&amp;B38</f>
        <v>Unit 2</v>
      </c>
      <c r="D38" s="9"/>
      <c r="E38" s="9" t="n">
        <v>110</v>
      </c>
      <c r="F38" s="9" t="n">
        <v>1.93</v>
      </c>
      <c r="G38" s="9" t="n">
        <v>1.7</v>
      </c>
      <c r="H38" s="9" t="n">
        <v>0</v>
      </c>
      <c r="I38" s="9"/>
      <c r="J38" s="9"/>
      <c r="K38" s="9"/>
      <c r="L38" s="9" t="n">
        <f aca="false">E38*24/1000</f>
        <v>2.64</v>
      </c>
      <c r="M38" s="10" t="n">
        <f aca="false">G38/L38</f>
        <v>0.643939393939394</v>
      </c>
      <c r="N38" s="9" t="n">
        <f aca="false">G38-F38</f>
        <v>-0.23</v>
      </c>
      <c r="O38" s="10" t="n">
        <f aca="false">IF(F38=0,"",G38/F38)</f>
        <v>0.880829015544042</v>
      </c>
      <c r="P38" s="9" t="n">
        <f aca="false">IF(H38&gt;0,1,0)</f>
        <v>0</v>
      </c>
      <c r="Q38" s="9" t="n">
        <f aca="false">IF(G38=0,1,0)</f>
        <v>0</v>
      </c>
      <c r="R38" s="9" t="str">
        <f aca="false">TEXT(A38,"mmm")</f>
        <v>Jun</v>
      </c>
      <c r="S38" s="9" t="n">
        <f aca="false">WEEKNUM(A38,2)</f>
        <v>24</v>
      </c>
      <c r="T38" s="9" t="str">
        <f aca="false">IF(A38&lt;DATE(2026,6,30),"1-Pre-outage",IF(A38&lt;DATE(2026,7,5),"2-Transition","3-Outage-heavy"))</f>
        <v>1-Pre-outage</v>
      </c>
      <c r="U38" s="9" t="str">
        <f aca="false">IF(K38="","",IF(ISNUMBER(SEARCH("TURBINE",K38)),"Turbine",IF(ISNUMBER(SEARCH("GENERATOR",K38)),"Generator",IF(ISNUMBER(SEARCH("BOILER",K38)),"Boiler",IF(ISNUMBER(SEARCH("AIR PREHEATER",K38)),"Auxiliary",IF(ISNUMBER(SEARCH("ELECTRICAL",K38)),"Electrical","Other"))))))</f>
        <v/>
      </c>
      <c r="V38" s="9" t="n">
        <f aca="false">AVERAGEIFS(G:G,B:B,B38,H:H,0)</f>
        <v>1.67955555555556</v>
      </c>
      <c r="W38" s="9" t="n">
        <f aca="false">IF(P38=1,MAX(0,V38-G38),0)</f>
        <v>0</v>
      </c>
    </row>
    <row r="39" customFormat="false" ht="15" hidden="false" customHeight="false" outlineLevel="0" collapsed="false">
      <c r="A39" s="8" t="n">
        <v>46184</v>
      </c>
      <c r="B39" s="9" t="n">
        <v>3</v>
      </c>
      <c r="C39" s="9" t="str">
        <f aca="false">"Unit "&amp;B39</f>
        <v>Unit 3</v>
      </c>
      <c r="D39" s="9"/>
      <c r="E39" s="9" t="n">
        <v>210</v>
      </c>
      <c r="F39" s="9" t="n">
        <v>3.9</v>
      </c>
      <c r="G39" s="9" t="n">
        <v>3.7</v>
      </c>
      <c r="H39" s="9" t="n">
        <v>0</v>
      </c>
      <c r="I39" s="9"/>
      <c r="J39" s="9"/>
      <c r="K39" s="9"/>
      <c r="L39" s="9" t="n">
        <f aca="false">E39*24/1000</f>
        <v>5.04</v>
      </c>
      <c r="M39" s="10" t="n">
        <f aca="false">G39/L39</f>
        <v>0.734126984126984</v>
      </c>
      <c r="N39" s="9" t="n">
        <f aca="false">G39-F39</f>
        <v>-0.2</v>
      </c>
      <c r="O39" s="10" t="n">
        <f aca="false">IF(F39=0,"",G39/F39)</f>
        <v>0.948717948717949</v>
      </c>
      <c r="P39" s="9" t="n">
        <f aca="false">IF(H39&gt;0,1,0)</f>
        <v>0</v>
      </c>
      <c r="Q39" s="9" t="n">
        <f aca="false">IF(G39=0,1,0)</f>
        <v>0</v>
      </c>
      <c r="R39" s="9" t="str">
        <f aca="false">TEXT(A39,"mmm")</f>
        <v>Jun</v>
      </c>
      <c r="S39" s="9" t="n">
        <f aca="false">WEEKNUM(A39,2)</f>
        <v>24</v>
      </c>
      <c r="T39" s="9" t="str">
        <f aca="false">IF(A39&lt;DATE(2026,6,30),"1-Pre-outage",IF(A39&lt;DATE(2026,7,5),"2-Transition","3-Outage-heavy"))</f>
        <v>1-Pre-outage</v>
      </c>
      <c r="U39" s="9" t="str">
        <f aca="false">IF(K39="","",IF(ISNUMBER(SEARCH("TURBINE",K39)),"Turbine",IF(ISNUMBER(SEARCH("GENERATOR",K39)),"Generator",IF(ISNUMBER(SEARCH("BOILER",K39)),"Boiler",IF(ISNUMBER(SEARCH("AIR PREHEATER",K39)),"Auxiliary",IF(ISNUMBER(SEARCH("ELECTRICAL",K39)),"Electrical","Other"))))))</f>
        <v/>
      </c>
      <c r="V39" s="9" t="n">
        <f aca="false">AVERAGEIFS(G:G,B:B,B39,H:H,0)</f>
        <v>3.72697674418605</v>
      </c>
      <c r="W39" s="9" t="n">
        <f aca="false">IF(P39=1,MAX(0,V39-G39),0)</f>
        <v>0</v>
      </c>
    </row>
    <row r="40" customFormat="false" ht="15" hidden="false" customHeight="false" outlineLevel="0" collapsed="false">
      <c r="A40" s="8" t="n">
        <v>46184</v>
      </c>
      <c r="B40" s="9" t="n">
        <v>4</v>
      </c>
      <c r="C40" s="9" t="str">
        <f aca="false">"Unit "&amp;B40</f>
        <v>Unit 4</v>
      </c>
      <c r="D40" s="9"/>
      <c r="E40" s="9" t="n">
        <v>210</v>
      </c>
      <c r="F40" s="9" t="n">
        <v>4</v>
      </c>
      <c r="G40" s="9" t="n">
        <v>3.38</v>
      </c>
      <c r="H40" s="9" t="n">
        <v>0</v>
      </c>
      <c r="I40" s="9"/>
      <c r="J40" s="9"/>
      <c r="K40" s="9"/>
      <c r="L40" s="9" t="n">
        <f aca="false">E40*24/1000</f>
        <v>5.04</v>
      </c>
      <c r="M40" s="10" t="n">
        <f aca="false">G40/L40</f>
        <v>0.670634920634921</v>
      </c>
      <c r="N40" s="9" t="n">
        <f aca="false">G40-F40</f>
        <v>-0.62</v>
      </c>
      <c r="O40" s="10" t="n">
        <f aca="false">IF(F40=0,"",G40/F40)</f>
        <v>0.845</v>
      </c>
      <c r="P40" s="9" t="n">
        <f aca="false">IF(H40&gt;0,1,0)</f>
        <v>0</v>
      </c>
      <c r="Q40" s="9" t="n">
        <f aca="false">IF(G40=0,1,0)</f>
        <v>0</v>
      </c>
      <c r="R40" s="9" t="str">
        <f aca="false">TEXT(A40,"mmm")</f>
        <v>Jun</v>
      </c>
      <c r="S40" s="9" t="n">
        <f aca="false">WEEKNUM(A40,2)</f>
        <v>24</v>
      </c>
      <c r="T40" s="9" t="str">
        <f aca="false">IF(A40&lt;DATE(2026,6,30),"1-Pre-outage",IF(A40&lt;DATE(2026,7,5),"2-Transition","3-Outage-heavy"))</f>
        <v>1-Pre-outage</v>
      </c>
      <c r="U40" s="9" t="str">
        <f aca="false">IF(K40="","",IF(ISNUMBER(SEARCH("TURBINE",K40)),"Turbine",IF(ISNUMBER(SEARCH("GENERATOR",K40)),"Generator",IF(ISNUMBER(SEARCH("BOILER",K40)),"Boiler",IF(ISNUMBER(SEARCH("AIR PREHEATER",K40)),"Auxiliary",IF(ISNUMBER(SEARCH("ELECTRICAL",K40)),"Electrical","Other"))))))</f>
        <v/>
      </c>
      <c r="V40" s="9" t="n">
        <f aca="false">AVERAGEIFS(G:G,B:B,B40,H:H,0)</f>
        <v>3.53586206896552</v>
      </c>
      <c r="W40" s="9" t="n">
        <f aca="false">IF(P40=1,MAX(0,V40-G40),0)</f>
        <v>0</v>
      </c>
    </row>
    <row r="41" customFormat="false" ht="15" hidden="false" customHeight="false" outlineLevel="0" collapsed="false">
      <c r="A41" s="8" t="n">
        <v>46184</v>
      </c>
      <c r="B41" s="9" t="n">
        <v>5</v>
      </c>
      <c r="C41" s="9" t="str">
        <f aca="false">"Unit "&amp;B41</f>
        <v>Unit 5</v>
      </c>
      <c r="D41" s="9"/>
      <c r="E41" s="9" t="n">
        <v>210</v>
      </c>
      <c r="F41" s="9" t="n">
        <v>4</v>
      </c>
      <c r="G41" s="9" t="n">
        <v>3.99</v>
      </c>
      <c r="H41" s="9" t="n">
        <v>0</v>
      </c>
      <c r="I41" s="9"/>
      <c r="J41" s="9"/>
      <c r="K41" s="9"/>
      <c r="L41" s="9" t="n">
        <f aca="false">E41*24/1000</f>
        <v>5.04</v>
      </c>
      <c r="M41" s="10" t="n">
        <f aca="false">G41/L41</f>
        <v>0.791666666666667</v>
      </c>
      <c r="N41" s="9" t="n">
        <f aca="false">G41-F41</f>
        <v>-0.00999999999999979</v>
      </c>
      <c r="O41" s="10" t="n">
        <f aca="false">IF(F41=0,"",G41/F41)</f>
        <v>0.9975</v>
      </c>
      <c r="P41" s="9" t="n">
        <f aca="false">IF(H41&gt;0,1,0)</f>
        <v>0</v>
      </c>
      <c r="Q41" s="9" t="n">
        <f aca="false">IF(G41=0,1,0)</f>
        <v>0</v>
      </c>
      <c r="R41" s="9" t="str">
        <f aca="false">TEXT(A41,"mmm")</f>
        <v>Jun</v>
      </c>
      <c r="S41" s="9" t="n">
        <f aca="false">WEEKNUM(A41,2)</f>
        <v>24</v>
      </c>
      <c r="T41" s="9" t="str">
        <f aca="false">IF(A41&lt;DATE(2026,6,30),"1-Pre-outage",IF(A41&lt;DATE(2026,7,5),"2-Transition","3-Outage-heavy"))</f>
        <v>1-Pre-outage</v>
      </c>
      <c r="U41" s="9" t="str">
        <f aca="false">IF(K41="","",IF(ISNUMBER(SEARCH("TURBINE",K41)),"Turbine",IF(ISNUMBER(SEARCH("GENERATOR",K41)),"Generator",IF(ISNUMBER(SEARCH("BOILER",K41)),"Boiler",IF(ISNUMBER(SEARCH("AIR PREHEATER",K41)),"Auxiliary",IF(ISNUMBER(SEARCH("ELECTRICAL",K41)),"Electrical","Other"))))))</f>
        <v/>
      </c>
      <c r="V41" s="9" t="n">
        <f aca="false">AVERAGEIFS(G:G,B:B,B41,H:H,0)</f>
        <v>3.98888888888889</v>
      </c>
      <c r="W41" s="9" t="n">
        <f aca="false">IF(P41=1,MAX(0,V41-G41),0)</f>
        <v>0</v>
      </c>
    </row>
    <row r="42" customFormat="false" ht="15" hidden="false" customHeight="false" outlineLevel="0" collapsed="false">
      <c r="A42" s="8" t="n">
        <v>46184</v>
      </c>
      <c r="B42" s="9" t="n">
        <v>6</v>
      </c>
      <c r="C42" s="9" t="str">
        <f aca="false">"Unit "&amp;B42</f>
        <v>Unit 6</v>
      </c>
      <c r="D42" s="9"/>
      <c r="E42" s="9" t="n">
        <v>195</v>
      </c>
      <c r="F42" s="9" t="n">
        <v>4.1</v>
      </c>
      <c r="G42" s="9" t="n">
        <v>3.84</v>
      </c>
      <c r="H42" s="9" t="n">
        <v>0</v>
      </c>
      <c r="I42" s="9"/>
      <c r="J42" s="9"/>
      <c r="K42" s="9"/>
      <c r="L42" s="9" t="n">
        <f aca="false">E42*24/1000</f>
        <v>4.68</v>
      </c>
      <c r="M42" s="10" t="n">
        <f aca="false">G42/L42</f>
        <v>0.820512820512821</v>
      </c>
      <c r="N42" s="9" t="n">
        <f aca="false">G42-F42</f>
        <v>-0.26</v>
      </c>
      <c r="O42" s="10" t="n">
        <f aca="false">IF(F42=0,"",G42/F42)</f>
        <v>0.936585365853659</v>
      </c>
      <c r="P42" s="9" t="n">
        <f aca="false">IF(H42&gt;0,1,0)</f>
        <v>0</v>
      </c>
      <c r="Q42" s="9" t="n">
        <f aca="false">IF(G42=0,1,0)</f>
        <v>0</v>
      </c>
      <c r="R42" s="9" t="str">
        <f aca="false">TEXT(A42,"mmm")</f>
        <v>Jun</v>
      </c>
      <c r="S42" s="9" t="n">
        <f aca="false">WEEKNUM(A42,2)</f>
        <v>24</v>
      </c>
      <c r="T42" s="9" t="str">
        <f aca="false">IF(A42&lt;DATE(2026,6,30),"1-Pre-outage",IF(A42&lt;DATE(2026,7,5),"2-Transition","3-Outage-heavy"))</f>
        <v>1-Pre-outage</v>
      </c>
      <c r="U42" s="9" t="str">
        <f aca="false">IF(K42="","",IF(ISNUMBER(SEARCH("TURBINE",K42)),"Turbine",IF(ISNUMBER(SEARCH("GENERATOR",K42)),"Generator",IF(ISNUMBER(SEARCH("BOILER",K42)),"Boiler",IF(ISNUMBER(SEARCH("AIR PREHEATER",K42)),"Auxiliary",IF(ISNUMBER(SEARCH("ELECTRICAL",K42)),"Electrical","Other"))))))</f>
        <v/>
      </c>
      <c r="V42" s="9" t="n">
        <f aca="false">AVERAGEIFS(G:G,B:B,B42,H:H,0)</f>
        <v>3.85377777777778</v>
      </c>
      <c r="W42" s="9" t="n">
        <f aca="false">IF(P42=1,MAX(0,V42-G42),0)</f>
        <v>0</v>
      </c>
    </row>
    <row r="43" customFormat="false" ht="15" hidden="false" customHeight="false" outlineLevel="0" collapsed="false">
      <c r="A43" s="8" t="n">
        <v>46184</v>
      </c>
      <c r="B43" s="9" t="n">
        <v>7</v>
      </c>
      <c r="C43" s="9" t="str">
        <f aca="false">"Unit "&amp;B43</f>
        <v>Unit 7</v>
      </c>
      <c r="D43" s="9"/>
      <c r="E43" s="9" t="n">
        <v>195</v>
      </c>
      <c r="F43" s="9" t="n">
        <v>4.1</v>
      </c>
      <c r="G43" s="9" t="n">
        <v>4.02</v>
      </c>
      <c r="H43" s="9" t="n">
        <v>0</v>
      </c>
      <c r="I43" s="9"/>
      <c r="J43" s="9"/>
      <c r="K43" s="9"/>
      <c r="L43" s="9" t="n">
        <f aca="false">E43*24/1000</f>
        <v>4.68</v>
      </c>
      <c r="M43" s="10" t="n">
        <f aca="false">G43/L43</f>
        <v>0.858974358974359</v>
      </c>
      <c r="N43" s="9" t="n">
        <f aca="false">G43-F43</f>
        <v>-0.0800000000000001</v>
      </c>
      <c r="O43" s="10" t="n">
        <f aca="false">IF(F43=0,"",G43/F43)</f>
        <v>0.980487804878049</v>
      </c>
      <c r="P43" s="9" t="n">
        <f aca="false">IF(H43&gt;0,1,0)</f>
        <v>0</v>
      </c>
      <c r="Q43" s="9" t="n">
        <f aca="false">IF(G43=0,1,0)</f>
        <v>0</v>
      </c>
      <c r="R43" s="9" t="str">
        <f aca="false">TEXT(A43,"mmm")</f>
        <v>Jun</v>
      </c>
      <c r="S43" s="9" t="n">
        <f aca="false">WEEKNUM(A43,2)</f>
        <v>24</v>
      </c>
      <c r="T43" s="9" t="str">
        <f aca="false">IF(A43&lt;DATE(2026,6,30),"1-Pre-outage",IF(A43&lt;DATE(2026,7,5),"2-Transition","3-Outage-heavy"))</f>
        <v>1-Pre-outage</v>
      </c>
      <c r="U43" s="9" t="str">
        <f aca="false">IF(K43="","",IF(ISNUMBER(SEARCH("TURBINE",K43)),"Turbine",IF(ISNUMBER(SEARCH("GENERATOR",K43)),"Generator",IF(ISNUMBER(SEARCH("BOILER",K43)),"Boiler",IF(ISNUMBER(SEARCH("AIR PREHEATER",K43)),"Auxiliary",IF(ISNUMBER(SEARCH("ELECTRICAL",K43)),"Electrical","Other"))))))</f>
        <v/>
      </c>
      <c r="V43" s="9" t="n">
        <f aca="false">AVERAGEIFS(G:G,B:B,B43,H:H,0)</f>
        <v>3.98375</v>
      </c>
      <c r="W43" s="9" t="n">
        <f aca="false">IF(P43=1,MAX(0,V43-G43),0)</f>
        <v>0</v>
      </c>
    </row>
    <row r="44" customFormat="false" ht="15" hidden="false" customHeight="false" outlineLevel="0" collapsed="false">
      <c r="A44" s="8" t="n">
        <v>46185</v>
      </c>
      <c r="B44" s="9" t="n">
        <v>1</v>
      </c>
      <c r="C44" s="9" t="str">
        <f aca="false">"Unit "&amp;B44</f>
        <v>Unit 1</v>
      </c>
      <c r="D44" s="9"/>
      <c r="E44" s="9" t="n">
        <v>110</v>
      </c>
      <c r="F44" s="9" t="n">
        <v>1.93</v>
      </c>
      <c r="G44" s="9" t="n">
        <v>1.56</v>
      </c>
      <c r="H44" s="9" t="n">
        <v>0</v>
      </c>
      <c r="I44" s="9"/>
      <c r="J44" s="9"/>
      <c r="K44" s="9"/>
      <c r="L44" s="9" t="n">
        <f aca="false">E44*24/1000</f>
        <v>2.64</v>
      </c>
      <c r="M44" s="10" t="n">
        <f aca="false">G44/L44</f>
        <v>0.590909090909091</v>
      </c>
      <c r="N44" s="9" t="n">
        <f aca="false">G44-F44</f>
        <v>-0.37</v>
      </c>
      <c r="O44" s="10" t="n">
        <f aca="false">IF(F44=0,"",G44/F44)</f>
        <v>0.808290155440415</v>
      </c>
      <c r="P44" s="9" t="n">
        <f aca="false">IF(H44&gt;0,1,0)</f>
        <v>0</v>
      </c>
      <c r="Q44" s="9" t="n">
        <f aca="false">IF(G44=0,1,0)</f>
        <v>0</v>
      </c>
      <c r="R44" s="9" t="str">
        <f aca="false">TEXT(A44,"mmm")</f>
        <v>Jun</v>
      </c>
      <c r="S44" s="9" t="n">
        <f aca="false">WEEKNUM(A44,2)</f>
        <v>24</v>
      </c>
      <c r="T44" s="9" t="str">
        <f aca="false">IF(A44&lt;DATE(2026,6,30),"1-Pre-outage",IF(A44&lt;DATE(2026,7,5),"2-Transition","3-Outage-heavy"))</f>
        <v>1-Pre-outage</v>
      </c>
      <c r="U44" s="9" t="str">
        <f aca="false">IF(K44="","",IF(ISNUMBER(SEARCH("TURBINE",K44)),"Turbine",IF(ISNUMBER(SEARCH("GENERATOR",K44)),"Generator",IF(ISNUMBER(SEARCH("BOILER",K44)),"Boiler",IF(ISNUMBER(SEARCH("AIR PREHEATER",K44)),"Auxiliary",IF(ISNUMBER(SEARCH("ELECTRICAL",K44)),"Electrical","Other"))))))</f>
        <v/>
      </c>
      <c r="V44" s="9" t="n">
        <f aca="false">AVERAGEIFS(G:G,B:B,B44,H:H,0)</f>
        <v>1.61181818181818</v>
      </c>
      <c r="W44" s="9" t="n">
        <f aca="false">IF(P44=1,MAX(0,V44-G44),0)</f>
        <v>0</v>
      </c>
    </row>
    <row r="45" customFormat="false" ht="15" hidden="false" customHeight="false" outlineLevel="0" collapsed="false">
      <c r="A45" s="8" t="n">
        <v>46185</v>
      </c>
      <c r="B45" s="9" t="n">
        <v>2</v>
      </c>
      <c r="C45" s="9" t="str">
        <f aca="false">"Unit "&amp;B45</f>
        <v>Unit 2</v>
      </c>
      <c r="D45" s="9"/>
      <c r="E45" s="9" t="n">
        <v>110</v>
      </c>
      <c r="F45" s="9" t="n">
        <v>1.93</v>
      </c>
      <c r="G45" s="9" t="n">
        <v>1.59</v>
      </c>
      <c r="H45" s="9" t="n">
        <v>0</v>
      </c>
      <c r="I45" s="9"/>
      <c r="J45" s="9"/>
      <c r="K45" s="9"/>
      <c r="L45" s="9" t="n">
        <f aca="false">E45*24/1000</f>
        <v>2.64</v>
      </c>
      <c r="M45" s="10" t="n">
        <f aca="false">G45/L45</f>
        <v>0.602272727272727</v>
      </c>
      <c r="N45" s="9" t="n">
        <f aca="false">G45-F45</f>
        <v>-0.34</v>
      </c>
      <c r="O45" s="10" t="n">
        <f aca="false">IF(F45=0,"",G45/F45)</f>
        <v>0.823834196891192</v>
      </c>
      <c r="P45" s="9" t="n">
        <f aca="false">IF(H45&gt;0,1,0)</f>
        <v>0</v>
      </c>
      <c r="Q45" s="9" t="n">
        <f aca="false">IF(G45=0,1,0)</f>
        <v>0</v>
      </c>
      <c r="R45" s="9" t="str">
        <f aca="false">TEXT(A45,"mmm")</f>
        <v>Jun</v>
      </c>
      <c r="S45" s="9" t="n">
        <f aca="false">WEEKNUM(A45,2)</f>
        <v>24</v>
      </c>
      <c r="T45" s="9" t="str">
        <f aca="false">IF(A45&lt;DATE(2026,6,30),"1-Pre-outage",IF(A45&lt;DATE(2026,7,5),"2-Transition","3-Outage-heavy"))</f>
        <v>1-Pre-outage</v>
      </c>
      <c r="U45" s="9" t="str">
        <f aca="false">IF(K45="","",IF(ISNUMBER(SEARCH("TURBINE",K45)),"Turbine",IF(ISNUMBER(SEARCH("GENERATOR",K45)),"Generator",IF(ISNUMBER(SEARCH("BOILER",K45)),"Boiler",IF(ISNUMBER(SEARCH("AIR PREHEATER",K45)),"Auxiliary",IF(ISNUMBER(SEARCH("ELECTRICAL",K45)),"Electrical","Other"))))))</f>
        <v/>
      </c>
      <c r="V45" s="9" t="n">
        <f aca="false">AVERAGEIFS(G:G,B:B,B45,H:H,0)</f>
        <v>1.67955555555556</v>
      </c>
      <c r="W45" s="9" t="n">
        <f aca="false">IF(P45=1,MAX(0,V45-G45),0)</f>
        <v>0</v>
      </c>
    </row>
    <row r="46" customFormat="false" ht="15" hidden="false" customHeight="false" outlineLevel="0" collapsed="false">
      <c r="A46" s="8" t="n">
        <v>46185</v>
      </c>
      <c r="B46" s="9" t="n">
        <v>3</v>
      </c>
      <c r="C46" s="9" t="str">
        <f aca="false">"Unit "&amp;B46</f>
        <v>Unit 3</v>
      </c>
      <c r="D46" s="9"/>
      <c r="E46" s="9" t="n">
        <v>210</v>
      </c>
      <c r="F46" s="9" t="n">
        <v>3.9</v>
      </c>
      <c r="G46" s="9" t="n">
        <v>3.56</v>
      </c>
      <c r="H46" s="9" t="n">
        <v>0</v>
      </c>
      <c r="I46" s="9"/>
      <c r="J46" s="9"/>
      <c r="K46" s="9"/>
      <c r="L46" s="9" t="n">
        <f aca="false">E46*24/1000</f>
        <v>5.04</v>
      </c>
      <c r="M46" s="10" t="n">
        <f aca="false">G46/L46</f>
        <v>0.706349206349206</v>
      </c>
      <c r="N46" s="9" t="n">
        <f aca="false">G46-F46</f>
        <v>-0.34</v>
      </c>
      <c r="O46" s="10" t="n">
        <f aca="false">IF(F46=0,"",G46/F46)</f>
        <v>0.912820512820513</v>
      </c>
      <c r="P46" s="9" t="n">
        <f aca="false">IF(H46&gt;0,1,0)</f>
        <v>0</v>
      </c>
      <c r="Q46" s="9" t="n">
        <f aca="false">IF(G46=0,1,0)</f>
        <v>0</v>
      </c>
      <c r="R46" s="9" t="str">
        <f aca="false">TEXT(A46,"mmm")</f>
        <v>Jun</v>
      </c>
      <c r="S46" s="9" t="n">
        <f aca="false">WEEKNUM(A46,2)</f>
        <v>24</v>
      </c>
      <c r="T46" s="9" t="str">
        <f aca="false">IF(A46&lt;DATE(2026,6,30),"1-Pre-outage",IF(A46&lt;DATE(2026,7,5),"2-Transition","3-Outage-heavy"))</f>
        <v>1-Pre-outage</v>
      </c>
      <c r="U46" s="9" t="str">
        <f aca="false">IF(K46="","",IF(ISNUMBER(SEARCH("TURBINE",K46)),"Turbine",IF(ISNUMBER(SEARCH("GENERATOR",K46)),"Generator",IF(ISNUMBER(SEARCH("BOILER",K46)),"Boiler",IF(ISNUMBER(SEARCH("AIR PREHEATER",K46)),"Auxiliary",IF(ISNUMBER(SEARCH("ELECTRICAL",K46)),"Electrical","Other"))))))</f>
        <v/>
      </c>
      <c r="V46" s="9" t="n">
        <f aca="false">AVERAGEIFS(G:G,B:B,B46,H:H,0)</f>
        <v>3.72697674418605</v>
      </c>
      <c r="W46" s="9" t="n">
        <f aca="false">IF(P46=1,MAX(0,V46-G46),0)</f>
        <v>0</v>
      </c>
    </row>
    <row r="47" customFormat="false" ht="15" hidden="false" customHeight="false" outlineLevel="0" collapsed="false">
      <c r="A47" s="8" t="n">
        <v>46185</v>
      </c>
      <c r="B47" s="9" t="n">
        <v>4</v>
      </c>
      <c r="C47" s="9" t="str">
        <f aca="false">"Unit "&amp;B47</f>
        <v>Unit 4</v>
      </c>
      <c r="D47" s="9"/>
      <c r="E47" s="9" t="n">
        <v>210</v>
      </c>
      <c r="F47" s="9" t="n">
        <v>4</v>
      </c>
      <c r="G47" s="9" t="n">
        <v>3.38</v>
      </c>
      <c r="H47" s="9" t="n">
        <v>0</v>
      </c>
      <c r="I47" s="9"/>
      <c r="J47" s="9"/>
      <c r="K47" s="9"/>
      <c r="L47" s="9" t="n">
        <f aca="false">E47*24/1000</f>
        <v>5.04</v>
      </c>
      <c r="M47" s="10" t="n">
        <f aca="false">G47/L47</f>
        <v>0.670634920634921</v>
      </c>
      <c r="N47" s="9" t="n">
        <f aca="false">G47-F47</f>
        <v>-0.62</v>
      </c>
      <c r="O47" s="10" t="n">
        <f aca="false">IF(F47=0,"",G47/F47)</f>
        <v>0.845</v>
      </c>
      <c r="P47" s="9" t="n">
        <f aca="false">IF(H47&gt;0,1,0)</f>
        <v>0</v>
      </c>
      <c r="Q47" s="9" t="n">
        <f aca="false">IF(G47=0,1,0)</f>
        <v>0</v>
      </c>
      <c r="R47" s="9" t="str">
        <f aca="false">TEXT(A47,"mmm")</f>
        <v>Jun</v>
      </c>
      <c r="S47" s="9" t="n">
        <f aca="false">WEEKNUM(A47,2)</f>
        <v>24</v>
      </c>
      <c r="T47" s="9" t="str">
        <f aca="false">IF(A47&lt;DATE(2026,6,30),"1-Pre-outage",IF(A47&lt;DATE(2026,7,5),"2-Transition","3-Outage-heavy"))</f>
        <v>1-Pre-outage</v>
      </c>
      <c r="U47" s="9" t="str">
        <f aca="false">IF(K47="","",IF(ISNUMBER(SEARCH("TURBINE",K47)),"Turbine",IF(ISNUMBER(SEARCH("GENERATOR",K47)),"Generator",IF(ISNUMBER(SEARCH("BOILER",K47)),"Boiler",IF(ISNUMBER(SEARCH("AIR PREHEATER",K47)),"Auxiliary",IF(ISNUMBER(SEARCH("ELECTRICAL",K47)),"Electrical","Other"))))))</f>
        <v/>
      </c>
      <c r="V47" s="9" t="n">
        <f aca="false">AVERAGEIFS(G:G,B:B,B47,H:H,0)</f>
        <v>3.53586206896552</v>
      </c>
      <c r="W47" s="9" t="n">
        <f aca="false">IF(P47=1,MAX(0,V47-G47),0)</f>
        <v>0</v>
      </c>
    </row>
    <row r="48" customFormat="false" ht="15" hidden="false" customHeight="false" outlineLevel="0" collapsed="false">
      <c r="A48" s="8" t="n">
        <v>46185</v>
      </c>
      <c r="B48" s="9" t="n">
        <v>5</v>
      </c>
      <c r="C48" s="9" t="str">
        <f aca="false">"Unit "&amp;B48</f>
        <v>Unit 5</v>
      </c>
      <c r="D48" s="9"/>
      <c r="E48" s="9" t="n">
        <v>210</v>
      </c>
      <c r="F48" s="9" t="n">
        <v>4</v>
      </c>
      <c r="G48" s="9" t="n">
        <v>3.83</v>
      </c>
      <c r="H48" s="9" t="n">
        <v>0</v>
      </c>
      <c r="I48" s="9"/>
      <c r="J48" s="9"/>
      <c r="K48" s="9"/>
      <c r="L48" s="9" t="n">
        <f aca="false">E48*24/1000</f>
        <v>5.04</v>
      </c>
      <c r="M48" s="10" t="n">
        <f aca="false">G48/L48</f>
        <v>0.759920634920635</v>
      </c>
      <c r="N48" s="9" t="n">
        <f aca="false">G48-F48</f>
        <v>-0.17</v>
      </c>
      <c r="O48" s="10" t="n">
        <f aca="false">IF(F48=0,"",G48/F48)</f>
        <v>0.9575</v>
      </c>
      <c r="P48" s="9" t="n">
        <f aca="false">IF(H48&gt;0,1,0)</f>
        <v>0</v>
      </c>
      <c r="Q48" s="9" t="n">
        <f aca="false">IF(G48=0,1,0)</f>
        <v>0</v>
      </c>
      <c r="R48" s="9" t="str">
        <f aca="false">TEXT(A48,"mmm")</f>
        <v>Jun</v>
      </c>
      <c r="S48" s="9" t="n">
        <f aca="false">WEEKNUM(A48,2)</f>
        <v>24</v>
      </c>
      <c r="T48" s="9" t="str">
        <f aca="false">IF(A48&lt;DATE(2026,6,30),"1-Pre-outage",IF(A48&lt;DATE(2026,7,5),"2-Transition","3-Outage-heavy"))</f>
        <v>1-Pre-outage</v>
      </c>
      <c r="U48" s="9" t="str">
        <f aca="false">IF(K48="","",IF(ISNUMBER(SEARCH("TURBINE",K48)),"Turbine",IF(ISNUMBER(SEARCH("GENERATOR",K48)),"Generator",IF(ISNUMBER(SEARCH("BOILER",K48)),"Boiler",IF(ISNUMBER(SEARCH("AIR PREHEATER",K48)),"Auxiliary",IF(ISNUMBER(SEARCH("ELECTRICAL",K48)),"Electrical","Other"))))))</f>
        <v/>
      </c>
      <c r="V48" s="9" t="n">
        <f aca="false">AVERAGEIFS(G:G,B:B,B48,H:H,0)</f>
        <v>3.98888888888889</v>
      </c>
      <c r="W48" s="9" t="n">
        <f aca="false">IF(P48=1,MAX(0,V48-G48),0)</f>
        <v>0</v>
      </c>
    </row>
    <row r="49" customFormat="false" ht="15" hidden="false" customHeight="false" outlineLevel="0" collapsed="false">
      <c r="A49" s="8" t="n">
        <v>46185</v>
      </c>
      <c r="B49" s="9" t="n">
        <v>6</v>
      </c>
      <c r="C49" s="9" t="str">
        <f aca="false">"Unit "&amp;B49</f>
        <v>Unit 6</v>
      </c>
      <c r="D49" s="9"/>
      <c r="E49" s="9" t="n">
        <v>195</v>
      </c>
      <c r="F49" s="9" t="n">
        <v>4.1</v>
      </c>
      <c r="G49" s="9" t="n">
        <v>3.84</v>
      </c>
      <c r="H49" s="9" t="n">
        <v>0</v>
      </c>
      <c r="I49" s="9"/>
      <c r="J49" s="9"/>
      <c r="K49" s="9"/>
      <c r="L49" s="9" t="n">
        <f aca="false">E49*24/1000</f>
        <v>4.68</v>
      </c>
      <c r="M49" s="10" t="n">
        <f aca="false">G49/L49</f>
        <v>0.820512820512821</v>
      </c>
      <c r="N49" s="9" t="n">
        <f aca="false">G49-F49</f>
        <v>-0.26</v>
      </c>
      <c r="O49" s="10" t="n">
        <f aca="false">IF(F49=0,"",G49/F49)</f>
        <v>0.936585365853659</v>
      </c>
      <c r="P49" s="9" t="n">
        <f aca="false">IF(H49&gt;0,1,0)</f>
        <v>0</v>
      </c>
      <c r="Q49" s="9" t="n">
        <f aca="false">IF(G49=0,1,0)</f>
        <v>0</v>
      </c>
      <c r="R49" s="9" t="str">
        <f aca="false">TEXT(A49,"mmm")</f>
        <v>Jun</v>
      </c>
      <c r="S49" s="9" t="n">
        <f aca="false">WEEKNUM(A49,2)</f>
        <v>24</v>
      </c>
      <c r="T49" s="9" t="str">
        <f aca="false">IF(A49&lt;DATE(2026,6,30),"1-Pre-outage",IF(A49&lt;DATE(2026,7,5),"2-Transition","3-Outage-heavy"))</f>
        <v>1-Pre-outage</v>
      </c>
      <c r="U49" s="9" t="str">
        <f aca="false">IF(K49="","",IF(ISNUMBER(SEARCH("TURBINE",K49)),"Turbine",IF(ISNUMBER(SEARCH("GENERATOR",K49)),"Generator",IF(ISNUMBER(SEARCH("BOILER",K49)),"Boiler",IF(ISNUMBER(SEARCH("AIR PREHEATER",K49)),"Auxiliary",IF(ISNUMBER(SEARCH("ELECTRICAL",K49)),"Electrical","Other"))))))</f>
        <v/>
      </c>
      <c r="V49" s="9" t="n">
        <f aca="false">AVERAGEIFS(G:G,B:B,B49,H:H,0)</f>
        <v>3.85377777777778</v>
      </c>
      <c r="W49" s="9" t="n">
        <f aca="false">IF(P49=1,MAX(0,V49-G49),0)</f>
        <v>0</v>
      </c>
    </row>
    <row r="50" customFormat="false" ht="15" hidden="false" customHeight="false" outlineLevel="0" collapsed="false">
      <c r="A50" s="8" t="n">
        <v>46185</v>
      </c>
      <c r="B50" s="9" t="n">
        <v>7</v>
      </c>
      <c r="C50" s="9" t="str">
        <f aca="false">"Unit "&amp;B50</f>
        <v>Unit 7</v>
      </c>
      <c r="D50" s="9"/>
      <c r="E50" s="9" t="n">
        <v>195</v>
      </c>
      <c r="F50" s="9" t="n">
        <v>4.1</v>
      </c>
      <c r="G50" s="9" t="n">
        <v>3.82</v>
      </c>
      <c r="H50" s="9" t="n">
        <v>0</v>
      </c>
      <c r="I50" s="9"/>
      <c r="J50" s="9"/>
      <c r="K50" s="9"/>
      <c r="L50" s="9" t="n">
        <f aca="false">E50*24/1000</f>
        <v>4.68</v>
      </c>
      <c r="M50" s="10" t="n">
        <f aca="false">G50/L50</f>
        <v>0.816239316239316</v>
      </c>
      <c r="N50" s="9" t="n">
        <f aca="false">G50-F50</f>
        <v>-0.28</v>
      </c>
      <c r="O50" s="10" t="n">
        <f aca="false">IF(F50=0,"",G50/F50)</f>
        <v>0.931707317073171</v>
      </c>
      <c r="P50" s="9" t="n">
        <f aca="false">IF(H50&gt;0,1,0)</f>
        <v>0</v>
      </c>
      <c r="Q50" s="9" t="n">
        <f aca="false">IF(G50=0,1,0)</f>
        <v>0</v>
      </c>
      <c r="R50" s="9" t="str">
        <f aca="false">TEXT(A50,"mmm")</f>
        <v>Jun</v>
      </c>
      <c r="S50" s="9" t="n">
        <f aca="false">WEEKNUM(A50,2)</f>
        <v>24</v>
      </c>
      <c r="T50" s="9" t="str">
        <f aca="false">IF(A50&lt;DATE(2026,6,30),"1-Pre-outage",IF(A50&lt;DATE(2026,7,5),"2-Transition","3-Outage-heavy"))</f>
        <v>1-Pre-outage</v>
      </c>
      <c r="U50" s="9" t="str">
        <f aca="false">IF(K50="","",IF(ISNUMBER(SEARCH("TURBINE",K50)),"Turbine",IF(ISNUMBER(SEARCH("GENERATOR",K50)),"Generator",IF(ISNUMBER(SEARCH("BOILER",K50)),"Boiler",IF(ISNUMBER(SEARCH("AIR PREHEATER",K50)),"Auxiliary",IF(ISNUMBER(SEARCH("ELECTRICAL",K50)),"Electrical","Other"))))))</f>
        <v/>
      </c>
      <c r="V50" s="9" t="n">
        <f aca="false">AVERAGEIFS(G:G,B:B,B50,H:H,0)</f>
        <v>3.98375</v>
      </c>
      <c r="W50" s="9" t="n">
        <f aca="false">IF(P50=1,MAX(0,V50-G50),0)</f>
        <v>0</v>
      </c>
    </row>
    <row r="51" customFormat="false" ht="15" hidden="false" customHeight="false" outlineLevel="0" collapsed="false">
      <c r="A51" s="8" t="n">
        <v>46186</v>
      </c>
      <c r="B51" s="9" t="n">
        <v>1</v>
      </c>
      <c r="C51" s="9" t="str">
        <f aca="false">"Unit "&amp;B51</f>
        <v>Unit 1</v>
      </c>
      <c r="D51" s="9"/>
      <c r="E51" s="9" t="n">
        <v>110</v>
      </c>
      <c r="F51" s="9" t="n">
        <v>1.93</v>
      </c>
      <c r="G51" s="9" t="n">
        <v>1.57</v>
      </c>
      <c r="H51" s="9" t="n">
        <v>0</v>
      </c>
      <c r="I51" s="9"/>
      <c r="J51" s="9"/>
      <c r="K51" s="9"/>
      <c r="L51" s="9" t="n">
        <f aca="false">E51*24/1000</f>
        <v>2.64</v>
      </c>
      <c r="M51" s="10" t="n">
        <f aca="false">G51/L51</f>
        <v>0.59469696969697</v>
      </c>
      <c r="N51" s="9" t="n">
        <f aca="false">G51-F51</f>
        <v>-0.36</v>
      </c>
      <c r="O51" s="10" t="n">
        <f aca="false">IF(F51=0,"",G51/F51)</f>
        <v>0.813471502590674</v>
      </c>
      <c r="P51" s="9" t="n">
        <f aca="false">IF(H51&gt;0,1,0)</f>
        <v>0</v>
      </c>
      <c r="Q51" s="9" t="n">
        <f aca="false">IF(G51=0,1,0)</f>
        <v>0</v>
      </c>
      <c r="R51" s="9" t="str">
        <f aca="false">TEXT(A51,"mmm")</f>
        <v>Jun</v>
      </c>
      <c r="S51" s="9" t="n">
        <f aca="false">WEEKNUM(A51,2)</f>
        <v>24</v>
      </c>
      <c r="T51" s="9" t="str">
        <f aca="false">IF(A51&lt;DATE(2026,6,30),"1-Pre-outage",IF(A51&lt;DATE(2026,7,5),"2-Transition","3-Outage-heavy"))</f>
        <v>1-Pre-outage</v>
      </c>
      <c r="U51" s="9" t="str">
        <f aca="false">IF(K51="","",IF(ISNUMBER(SEARCH("TURBINE",K51)),"Turbine",IF(ISNUMBER(SEARCH("GENERATOR",K51)),"Generator",IF(ISNUMBER(SEARCH("BOILER",K51)),"Boiler",IF(ISNUMBER(SEARCH("AIR PREHEATER",K51)),"Auxiliary",IF(ISNUMBER(SEARCH("ELECTRICAL",K51)),"Electrical","Other"))))))</f>
        <v/>
      </c>
      <c r="V51" s="9" t="n">
        <f aca="false">AVERAGEIFS(G:G,B:B,B51,H:H,0)</f>
        <v>1.61181818181818</v>
      </c>
      <c r="W51" s="9" t="n">
        <f aca="false">IF(P51=1,MAX(0,V51-G51),0)</f>
        <v>0</v>
      </c>
    </row>
    <row r="52" customFormat="false" ht="15" hidden="false" customHeight="false" outlineLevel="0" collapsed="false">
      <c r="A52" s="8" t="n">
        <v>46186</v>
      </c>
      <c r="B52" s="9" t="n">
        <v>2</v>
      </c>
      <c r="C52" s="9" t="str">
        <f aca="false">"Unit "&amp;B52</f>
        <v>Unit 2</v>
      </c>
      <c r="D52" s="9"/>
      <c r="E52" s="9" t="n">
        <v>110</v>
      </c>
      <c r="F52" s="9" t="n">
        <v>1.93</v>
      </c>
      <c r="G52" s="9" t="n">
        <v>1.59</v>
      </c>
      <c r="H52" s="9" t="n">
        <v>0</v>
      </c>
      <c r="I52" s="9"/>
      <c r="J52" s="9"/>
      <c r="K52" s="9"/>
      <c r="L52" s="9" t="n">
        <f aca="false">E52*24/1000</f>
        <v>2.64</v>
      </c>
      <c r="M52" s="10" t="n">
        <f aca="false">G52/L52</f>
        <v>0.602272727272727</v>
      </c>
      <c r="N52" s="9" t="n">
        <f aca="false">G52-F52</f>
        <v>-0.34</v>
      </c>
      <c r="O52" s="10" t="n">
        <f aca="false">IF(F52=0,"",G52/F52)</f>
        <v>0.823834196891192</v>
      </c>
      <c r="P52" s="9" t="n">
        <f aca="false">IF(H52&gt;0,1,0)</f>
        <v>0</v>
      </c>
      <c r="Q52" s="9" t="n">
        <f aca="false">IF(G52=0,1,0)</f>
        <v>0</v>
      </c>
      <c r="R52" s="9" t="str">
        <f aca="false">TEXT(A52,"mmm")</f>
        <v>Jun</v>
      </c>
      <c r="S52" s="9" t="n">
        <f aca="false">WEEKNUM(A52,2)</f>
        <v>24</v>
      </c>
      <c r="T52" s="9" t="str">
        <f aca="false">IF(A52&lt;DATE(2026,6,30),"1-Pre-outage",IF(A52&lt;DATE(2026,7,5),"2-Transition","3-Outage-heavy"))</f>
        <v>1-Pre-outage</v>
      </c>
      <c r="U52" s="9" t="str">
        <f aca="false">IF(K52="","",IF(ISNUMBER(SEARCH("TURBINE",K52)),"Turbine",IF(ISNUMBER(SEARCH("GENERATOR",K52)),"Generator",IF(ISNUMBER(SEARCH("BOILER",K52)),"Boiler",IF(ISNUMBER(SEARCH("AIR PREHEATER",K52)),"Auxiliary",IF(ISNUMBER(SEARCH("ELECTRICAL",K52)),"Electrical","Other"))))))</f>
        <v/>
      </c>
      <c r="V52" s="9" t="n">
        <f aca="false">AVERAGEIFS(G:G,B:B,B52,H:H,0)</f>
        <v>1.67955555555556</v>
      </c>
      <c r="W52" s="9" t="n">
        <f aca="false">IF(P52=1,MAX(0,V52-G52),0)</f>
        <v>0</v>
      </c>
    </row>
    <row r="53" customFormat="false" ht="15" hidden="false" customHeight="false" outlineLevel="0" collapsed="false">
      <c r="A53" s="8" t="n">
        <v>46186</v>
      </c>
      <c r="B53" s="9" t="n">
        <v>3</v>
      </c>
      <c r="C53" s="9" t="str">
        <f aca="false">"Unit "&amp;B53</f>
        <v>Unit 3</v>
      </c>
      <c r="D53" s="9"/>
      <c r="E53" s="9" t="n">
        <v>210</v>
      </c>
      <c r="F53" s="9" t="n">
        <v>3.9</v>
      </c>
      <c r="G53" s="9" t="n">
        <v>3.61</v>
      </c>
      <c r="H53" s="9" t="n">
        <v>0</v>
      </c>
      <c r="I53" s="9"/>
      <c r="J53" s="9"/>
      <c r="K53" s="9"/>
      <c r="L53" s="9" t="n">
        <f aca="false">E53*24/1000</f>
        <v>5.04</v>
      </c>
      <c r="M53" s="10" t="n">
        <f aca="false">G53/L53</f>
        <v>0.716269841269841</v>
      </c>
      <c r="N53" s="9" t="n">
        <f aca="false">G53-F53</f>
        <v>-0.29</v>
      </c>
      <c r="O53" s="10" t="n">
        <f aca="false">IF(F53=0,"",G53/F53)</f>
        <v>0.925641025641026</v>
      </c>
      <c r="P53" s="9" t="n">
        <f aca="false">IF(H53&gt;0,1,0)</f>
        <v>0</v>
      </c>
      <c r="Q53" s="9" t="n">
        <f aca="false">IF(G53=0,1,0)</f>
        <v>0</v>
      </c>
      <c r="R53" s="9" t="str">
        <f aca="false">TEXT(A53,"mmm")</f>
        <v>Jun</v>
      </c>
      <c r="S53" s="9" t="n">
        <f aca="false">WEEKNUM(A53,2)</f>
        <v>24</v>
      </c>
      <c r="T53" s="9" t="str">
        <f aca="false">IF(A53&lt;DATE(2026,6,30),"1-Pre-outage",IF(A53&lt;DATE(2026,7,5),"2-Transition","3-Outage-heavy"))</f>
        <v>1-Pre-outage</v>
      </c>
      <c r="U53" s="9" t="str">
        <f aca="false">IF(K53="","",IF(ISNUMBER(SEARCH("TURBINE",K53)),"Turbine",IF(ISNUMBER(SEARCH("GENERATOR",K53)),"Generator",IF(ISNUMBER(SEARCH("BOILER",K53)),"Boiler",IF(ISNUMBER(SEARCH("AIR PREHEATER",K53)),"Auxiliary",IF(ISNUMBER(SEARCH("ELECTRICAL",K53)),"Electrical","Other"))))))</f>
        <v/>
      </c>
      <c r="V53" s="9" t="n">
        <f aca="false">AVERAGEIFS(G:G,B:B,B53,H:H,0)</f>
        <v>3.72697674418605</v>
      </c>
      <c r="W53" s="9" t="n">
        <f aca="false">IF(P53=1,MAX(0,V53-G53),0)</f>
        <v>0</v>
      </c>
    </row>
    <row r="54" customFormat="false" ht="15" hidden="false" customHeight="false" outlineLevel="0" collapsed="false">
      <c r="A54" s="8" t="n">
        <v>46186</v>
      </c>
      <c r="B54" s="9" t="n">
        <v>4</v>
      </c>
      <c r="C54" s="9" t="str">
        <f aca="false">"Unit "&amp;B54</f>
        <v>Unit 4</v>
      </c>
      <c r="D54" s="9"/>
      <c r="E54" s="9" t="n">
        <v>210</v>
      </c>
      <c r="F54" s="9" t="n">
        <v>4</v>
      </c>
      <c r="G54" s="9" t="n">
        <v>3.38</v>
      </c>
      <c r="H54" s="9" t="n">
        <v>0</v>
      </c>
      <c r="I54" s="9"/>
      <c r="J54" s="9"/>
      <c r="K54" s="9"/>
      <c r="L54" s="9" t="n">
        <f aca="false">E54*24/1000</f>
        <v>5.04</v>
      </c>
      <c r="M54" s="10" t="n">
        <f aca="false">G54/L54</f>
        <v>0.670634920634921</v>
      </c>
      <c r="N54" s="9" t="n">
        <f aca="false">G54-F54</f>
        <v>-0.62</v>
      </c>
      <c r="O54" s="10" t="n">
        <f aca="false">IF(F54=0,"",G54/F54)</f>
        <v>0.845</v>
      </c>
      <c r="P54" s="9" t="n">
        <f aca="false">IF(H54&gt;0,1,0)</f>
        <v>0</v>
      </c>
      <c r="Q54" s="9" t="n">
        <f aca="false">IF(G54=0,1,0)</f>
        <v>0</v>
      </c>
      <c r="R54" s="9" t="str">
        <f aca="false">TEXT(A54,"mmm")</f>
        <v>Jun</v>
      </c>
      <c r="S54" s="9" t="n">
        <f aca="false">WEEKNUM(A54,2)</f>
        <v>24</v>
      </c>
      <c r="T54" s="9" t="str">
        <f aca="false">IF(A54&lt;DATE(2026,6,30),"1-Pre-outage",IF(A54&lt;DATE(2026,7,5),"2-Transition","3-Outage-heavy"))</f>
        <v>1-Pre-outage</v>
      </c>
      <c r="U54" s="9" t="str">
        <f aca="false">IF(K54="","",IF(ISNUMBER(SEARCH("TURBINE",K54)),"Turbine",IF(ISNUMBER(SEARCH("GENERATOR",K54)),"Generator",IF(ISNUMBER(SEARCH("BOILER",K54)),"Boiler",IF(ISNUMBER(SEARCH("AIR PREHEATER",K54)),"Auxiliary",IF(ISNUMBER(SEARCH("ELECTRICAL",K54)),"Electrical","Other"))))))</f>
        <v/>
      </c>
      <c r="V54" s="9" t="n">
        <f aca="false">AVERAGEIFS(G:G,B:B,B54,H:H,0)</f>
        <v>3.53586206896552</v>
      </c>
      <c r="W54" s="9" t="n">
        <f aca="false">IF(P54=1,MAX(0,V54-G54),0)</f>
        <v>0</v>
      </c>
    </row>
    <row r="55" customFormat="false" ht="15" hidden="false" customHeight="false" outlineLevel="0" collapsed="false">
      <c r="A55" s="8" t="n">
        <v>46186</v>
      </c>
      <c r="B55" s="9" t="n">
        <v>5</v>
      </c>
      <c r="C55" s="9" t="str">
        <f aca="false">"Unit "&amp;B55</f>
        <v>Unit 5</v>
      </c>
      <c r="D55" s="9"/>
      <c r="E55" s="9" t="n">
        <v>210</v>
      </c>
      <c r="F55" s="9" t="n">
        <v>4</v>
      </c>
      <c r="G55" s="9" t="n">
        <v>3.88</v>
      </c>
      <c r="H55" s="9" t="n">
        <v>0</v>
      </c>
      <c r="I55" s="9"/>
      <c r="J55" s="9"/>
      <c r="K55" s="9"/>
      <c r="L55" s="9" t="n">
        <f aca="false">E55*24/1000</f>
        <v>5.04</v>
      </c>
      <c r="M55" s="10" t="n">
        <f aca="false">G55/L55</f>
        <v>0.76984126984127</v>
      </c>
      <c r="N55" s="9" t="n">
        <f aca="false">G55-F55</f>
        <v>-0.12</v>
      </c>
      <c r="O55" s="10" t="n">
        <f aca="false">IF(F55=0,"",G55/F55)</f>
        <v>0.97</v>
      </c>
      <c r="P55" s="9" t="n">
        <f aca="false">IF(H55&gt;0,1,0)</f>
        <v>0</v>
      </c>
      <c r="Q55" s="9" t="n">
        <f aca="false">IF(G55=0,1,0)</f>
        <v>0</v>
      </c>
      <c r="R55" s="9" t="str">
        <f aca="false">TEXT(A55,"mmm")</f>
        <v>Jun</v>
      </c>
      <c r="S55" s="9" t="n">
        <f aca="false">WEEKNUM(A55,2)</f>
        <v>24</v>
      </c>
      <c r="T55" s="9" t="str">
        <f aca="false">IF(A55&lt;DATE(2026,6,30),"1-Pre-outage",IF(A55&lt;DATE(2026,7,5),"2-Transition","3-Outage-heavy"))</f>
        <v>1-Pre-outage</v>
      </c>
      <c r="U55" s="9" t="str">
        <f aca="false">IF(K55="","",IF(ISNUMBER(SEARCH("TURBINE",K55)),"Turbine",IF(ISNUMBER(SEARCH("GENERATOR",K55)),"Generator",IF(ISNUMBER(SEARCH("BOILER",K55)),"Boiler",IF(ISNUMBER(SEARCH("AIR PREHEATER",K55)),"Auxiliary",IF(ISNUMBER(SEARCH("ELECTRICAL",K55)),"Electrical","Other"))))))</f>
        <v/>
      </c>
      <c r="V55" s="9" t="n">
        <f aca="false">AVERAGEIFS(G:G,B:B,B55,H:H,0)</f>
        <v>3.98888888888889</v>
      </c>
      <c r="W55" s="9" t="n">
        <f aca="false">IF(P55=1,MAX(0,V55-G55),0)</f>
        <v>0</v>
      </c>
    </row>
    <row r="56" customFormat="false" ht="15" hidden="false" customHeight="false" outlineLevel="0" collapsed="false">
      <c r="A56" s="8" t="n">
        <v>46186</v>
      </c>
      <c r="B56" s="9" t="n">
        <v>6</v>
      </c>
      <c r="C56" s="9" t="str">
        <f aca="false">"Unit "&amp;B56</f>
        <v>Unit 6</v>
      </c>
      <c r="D56" s="9"/>
      <c r="E56" s="9" t="n">
        <v>195</v>
      </c>
      <c r="F56" s="9" t="n">
        <v>4.1</v>
      </c>
      <c r="G56" s="9" t="n">
        <v>3.84</v>
      </c>
      <c r="H56" s="9" t="n">
        <v>0</v>
      </c>
      <c r="I56" s="9"/>
      <c r="J56" s="9"/>
      <c r="K56" s="9"/>
      <c r="L56" s="9" t="n">
        <f aca="false">E56*24/1000</f>
        <v>4.68</v>
      </c>
      <c r="M56" s="10" t="n">
        <f aca="false">G56/L56</f>
        <v>0.820512820512821</v>
      </c>
      <c r="N56" s="9" t="n">
        <f aca="false">G56-F56</f>
        <v>-0.26</v>
      </c>
      <c r="O56" s="10" t="n">
        <f aca="false">IF(F56=0,"",G56/F56)</f>
        <v>0.936585365853659</v>
      </c>
      <c r="P56" s="9" t="n">
        <f aca="false">IF(H56&gt;0,1,0)</f>
        <v>0</v>
      </c>
      <c r="Q56" s="9" t="n">
        <f aca="false">IF(G56=0,1,0)</f>
        <v>0</v>
      </c>
      <c r="R56" s="9" t="str">
        <f aca="false">TEXT(A56,"mmm")</f>
        <v>Jun</v>
      </c>
      <c r="S56" s="9" t="n">
        <f aca="false">WEEKNUM(A56,2)</f>
        <v>24</v>
      </c>
      <c r="T56" s="9" t="str">
        <f aca="false">IF(A56&lt;DATE(2026,6,30),"1-Pre-outage",IF(A56&lt;DATE(2026,7,5),"2-Transition","3-Outage-heavy"))</f>
        <v>1-Pre-outage</v>
      </c>
      <c r="U56" s="9" t="str">
        <f aca="false">IF(K56="","",IF(ISNUMBER(SEARCH("TURBINE",K56)),"Turbine",IF(ISNUMBER(SEARCH("GENERATOR",K56)),"Generator",IF(ISNUMBER(SEARCH("BOILER",K56)),"Boiler",IF(ISNUMBER(SEARCH("AIR PREHEATER",K56)),"Auxiliary",IF(ISNUMBER(SEARCH("ELECTRICAL",K56)),"Electrical","Other"))))))</f>
        <v/>
      </c>
      <c r="V56" s="9" t="n">
        <f aca="false">AVERAGEIFS(G:G,B:B,B56,H:H,0)</f>
        <v>3.85377777777778</v>
      </c>
      <c r="W56" s="9" t="n">
        <f aca="false">IF(P56=1,MAX(0,V56-G56),0)</f>
        <v>0</v>
      </c>
    </row>
    <row r="57" customFormat="false" ht="15" hidden="false" customHeight="false" outlineLevel="0" collapsed="false">
      <c r="A57" s="8" t="n">
        <v>46186</v>
      </c>
      <c r="B57" s="9" t="n">
        <v>7</v>
      </c>
      <c r="C57" s="9" t="str">
        <f aca="false">"Unit "&amp;B57</f>
        <v>Unit 7</v>
      </c>
      <c r="D57" s="9"/>
      <c r="E57" s="9" t="n">
        <v>195</v>
      </c>
      <c r="F57" s="9" t="n">
        <v>4.1</v>
      </c>
      <c r="G57" s="9" t="n">
        <v>3.87</v>
      </c>
      <c r="H57" s="9" t="n">
        <v>0</v>
      </c>
      <c r="I57" s="9"/>
      <c r="J57" s="9"/>
      <c r="K57" s="9"/>
      <c r="L57" s="9" t="n">
        <f aca="false">E57*24/1000</f>
        <v>4.68</v>
      </c>
      <c r="M57" s="10" t="n">
        <f aca="false">G57/L57</f>
        <v>0.826923076923077</v>
      </c>
      <c r="N57" s="9" t="n">
        <f aca="false">G57-F57</f>
        <v>-0.23</v>
      </c>
      <c r="O57" s="10" t="n">
        <f aca="false">IF(F57=0,"",G57/F57)</f>
        <v>0.94390243902439</v>
      </c>
      <c r="P57" s="9" t="n">
        <f aca="false">IF(H57&gt;0,1,0)</f>
        <v>0</v>
      </c>
      <c r="Q57" s="9" t="n">
        <f aca="false">IF(G57=0,1,0)</f>
        <v>0</v>
      </c>
      <c r="R57" s="9" t="str">
        <f aca="false">TEXT(A57,"mmm")</f>
        <v>Jun</v>
      </c>
      <c r="S57" s="9" t="n">
        <f aca="false">WEEKNUM(A57,2)</f>
        <v>24</v>
      </c>
      <c r="T57" s="9" t="str">
        <f aca="false">IF(A57&lt;DATE(2026,6,30),"1-Pre-outage",IF(A57&lt;DATE(2026,7,5),"2-Transition","3-Outage-heavy"))</f>
        <v>1-Pre-outage</v>
      </c>
      <c r="U57" s="9" t="str">
        <f aca="false">IF(K57="","",IF(ISNUMBER(SEARCH("TURBINE",K57)),"Turbine",IF(ISNUMBER(SEARCH("GENERATOR",K57)),"Generator",IF(ISNUMBER(SEARCH("BOILER",K57)),"Boiler",IF(ISNUMBER(SEARCH("AIR PREHEATER",K57)),"Auxiliary",IF(ISNUMBER(SEARCH("ELECTRICAL",K57)),"Electrical","Other"))))))</f>
        <v/>
      </c>
      <c r="V57" s="9" t="n">
        <f aca="false">AVERAGEIFS(G:G,B:B,B57,H:H,0)</f>
        <v>3.98375</v>
      </c>
      <c r="W57" s="9" t="n">
        <f aca="false">IF(P57=1,MAX(0,V57-G57),0)</f>
        <v>0</v>
      </c>
    </row>
    <row r="58" customFormat="false" ht="15" hidden="false" customHeight="false" outlineLevel="0" collapsed="false">
      <c r="A58" s="8" t="n">
        <v>46187</v>
      </c>
      <c r="B58" s="9" t="n">
        <v>1</v>
      </c>
      <c r="C58" s="9" t="str">
        <f aca="false">"Unit "&amp;B58</f>
        <v>Unit 1</v>
      </c>
      <c r="D58" s="9"/>
      <c r="E58" s="9" t="n">
        <v>110</v>
      </c>
      <c r="F58" s="9" t="n">
        <v>1.93</v>
      </c>
      <c r="G58" s="9" t="n">
        <v>1.48</v>
      </c>
      <c r="H58" s="9" t="n">
        <v>0</v>
      </c>
      <c r="I58" s="9"/>
      <c r="J58" s="9"/>
      <c r="K58" s="9"/>
      <c r="L58" s="9" t="n">
        <f aca="false">E58*24/1000</f>
        <v>2.64</v>
      </c>
      <c r="M58" s="10" t="n">
        <f aca="false">G58/L58</f>
        <v>0.560606060606061</v>
      </c>
      <c r="N58" s="9" t="n">
        <f aca="false">G58-F58</f>
        <v>-0.45</v>
      </c>
      <c r="O58" s="10" t="n">
        <f aca="false">IF(F58=0,"",G58/F58)</f>
        <v>0.766839378238342</v>
      </c>
      <c r="P58" s="9" t="n">
        <f aca="false">IF(H58&gt;0,1,0)</f>
        <v>0</v>
      </c>
      <c r="Q58" s="9" t="n">
        <f aca="false">IF(G58=0,1,0)</f>
        <v>0</v>
      </c>
      <c r="R58" s="9" t="str">
        <f aca="false">TEXT(A58,"mmm")</f>
        <v>Jun</v>
      </c>
      <c r="S58" s="9" t="n">
        <f aca="false">WEEKNUM(A58,2)</f>
        <v>24</v>
      </c>
      <c r="T58" s="9" t="str">
        <f aca="false">IF(A58&lt;DATE(2026,6,30),"1-Pre-outage",IF(A58&lt;DATE(2026,7,5),"2-Transition","3-Outage-heavy"))</f>
        <v>1-Pre-outage</v>
      </c>
      <c r="U58" s="9" t="str">
        <f aca="false">IF(K58="","",IF(ISNUMBER(SEARCH("TURBINE",K58)),"Turbine",IF(ISNUMBER(SEARCH("GENERATOR",K58)),"Generator",IF(ISNUMBER(SEARCH("BOILER",K58)),"Boiler",IF(ISNUMBER(SEARCH("AIR PREHEATER",K58)),"Auxiliary",IF(ISNUMBER(SEARCH("ELECTRICAL",K58)),"Electrical","Other"))))))</f>
        <v/>
      </c>
      <c r="V58" s="9" t="n">
        <f aca="false">AVERAGEIFS(G:G,B:B,B58,H:H,0)</f>
        <v>1.61181818181818</v>
      </c>
      <c r="W58" s="9" t="n">
        <f aca="false">IF(P58=1,MAX(0,V58-G58),0)</f>
        <v>0</v>
      </c>
    </row>
    <row r="59" customFormat="false" ht="15" hidden="false" customHeight="false" outlineLevel="0" collapsed="false">
      <c r="A59" s="8" t="n">
        <v>46187</v>
      </c>
      <c r="B59" s="9" t="n">
        <v>2</v>
      </c>
      <c r="C59" s="9" t="str">
        <f aca="false">"Unit "&amp;B59</f>
        <v>Unit 2</v>
      </c>
      <c r="D59" s="9"/>
      <c r="E59" s="9" t="n">
        <v>110</v>
      </c>
      <c r="F59" s="9" t="n">
        <v>1.93</v>
      </c>
      <c r="G59" s="9" t="n">
        <v>1.48</v>
      </c>
      <c r="H59" s="9" t="n">
        <v>0</v>
      </c>
      <c r="I59" s="9"/>
      <c r="J59" s="9"/>
      <c r="K59" s="9"/>
      <c r="L59" s="9" t="n">
        <f aca="false">E59*24/1000</f>
        <v>2.64</v>
      </c>
      <c r="M59" s="10" t="n">
        <f aca="false">G59/L59</f>
        <v>0.560606060606061</v>
      </c>
      <c r="N59" s="9" t="n">
        <f aca="false">G59-F59</f>
        <v>-0.45</v>
      </c>
      <c r="O59" s="10" t="n">
        <f aca="false">IF(F59=0,"",G59/F59)</f>
        <v>0.766839378238342</v>
      </c>
      <c r="P59" s="9" t="n">
        <f aca="false">IF(H59&gt;0,1,0)</f>
        <v>0</v>
      </c>
      <c r="Q59" s="9" t="n">
        <f aca="false">IF(G59=0,1,0)</f>
        <v>0</v>
      </c>
      <c r="R59" s="9" t="str">
        <f aca="false">TEXT(A59,"mmm")</f>
        <v>Jun</v>
      </c>
      <c r="S59" s="9" t="n">
        <f aca="false">WEEKNUM(A59,2)</f>
        <v>24</v>
      </c>
      <c r="T59" s="9" t="str">
        <f aca="false">IF(A59&lt;DATE(2026,6,30),"1-Pre-outage",IF(A59&lt;DATE(2026,7,5),"2-Transition","3-Outage-heavy"))</f>
        <v>1-Pre-outage</v>
      </c>
      <c r="U59" s="9" t="str">
        <f aca="false">IF(K59="","",IF(ISNUMBER(SEARCH("TURBINE",K59)),"Turbine",IF(ISNUMBER(SEARCH("GENERATOR",K59)),"Generator",IF(ISNUMBER(SEARCH("BOILER",K59)),"Boiler",IF(ISNUMBER(SEARCH("AIR PREHEATER",K59)),"Auxiliary",IF(ISNUMBER(SEARCH("ELECTRICAL",K59)),"Electrical","Other"))))))</f>
        <v/>
      </c>
      <c r="V59" s="9" t="n">
        <f aca="false">AVERAGEIFS(G:G,B:B,B59,H:H,0)</f>
        <v>1.67955555555556</v>
      </c>
      <c r="W59" s="9" t="n">
        <f aca="false">IF(P59=1,MAX(0,V59-G59),0)</f>
        <v>0</v>
      </c>
    </row>
    <row r="60" customFormat="false" ht="15" hidden="false" customHeight="false" outlineLevel="0" collapsed="false">
      <c r="A60" s="8" t="n">
        <v>46187</v>
      </c>
      <c r="B60" s="9" t="n">
        <v>3</v>
      </c>
      <c r="C60" s="9" t="str">
        <f aca="false">"Unit "&amp;B60</f>
        <v>Unit 3</v>
      </c>
      <c r="D60" s="9"/>
      <c r="E60" s="9" t="n">
        <v>210</v>
      </c>
      <c r="F60" s="9" t="n">
        <v>3.9</v>
      </c>
      <c r="G60" s="9" t="n">
        <v>3.44</v>
      </c>
      <c r="H60" s="9" t="n">
        <v>0</v>
      </c>
      <c r="I60" s="9"/>
      <c r="J60" s="9"/>
      <c r="K60" s="9"/>
      <c r="L60" s="9" t="n">
        <f aca="false">E60*24/1000</f>
        <v>5.04</v>
      </c>
      <c r="M60" s="10" t="n">
        <f aca="false">G60/L60</f>
        <v>0.682539682539683</v>
      </c>
      <c r="N60" s="9" t="n">
        <f aca="false">G60-F60</f>
        <v>-0.46</v>
      </c>
      <c r="O60" s="10" t="n">
        <f aca="false">IF(F60=0,"",G60/F60)</f>
        <v>0.882051282051282</v>
      </c>
      <c r="P60" s="9" t="n">
        <f aca="false">IF(H60&gt;0,1,0)</f>
        <v>0</v>
      </c>
      <c r="Q60" s="9" t="n">
        <f aca="false">IF(G60=0,1,0)</f>
        <v>0</v>
      </c>
      <c r="R60" s="9" t="str">
        <f aca="false">TEXT(A60,"mmm")</f>
        <v>Jun</v>
      </c>
      <c r="S60" s="9" t="n">
        <f aca="false">WEEKNUM(A60,2)</f>
        <v>24</v>
      </c>
      <c r="T60" s="9" t="str">
        <f aca="false">IF(A60&lt;DATE(2026,6,30),"1-Pre-outage",IF(A60&lt;DATE(2026,7,5),"2-Transition","3-Outage-heavy"))</f>
        <v>1-Pre-outage</v>
      </c>
      <c r="U60" s="9" t="str">
        <f aca="false">IF(K60="","",IF(ISNUMBER(SEARCH("TURBINE",K60)),"Turbine",IF(ISNUMBER(SEARCH("GENERATOR",K60)),"Generator",IF(ISNUMBER(SEARCH("BOILER",K60)),"Boiler",IF(ISNUMBER(SEARCH("AIR PREHEATER",K60)),"Auxiliary",IF(ISNUMBER(SEARCH("ELECTRICAL",K60)),"Electrical","Other"))))))</f>
        <v/>
      </c>
      <c r="V60" s="9" t="n">
        <f aca="false">AVERAGEIFS(G:G,B:B,B60,H:H,0)</f>
        <v>3.72697674418605</v>
      </c>
      <c r="W60" s="9" t="n">
        <f aca="false">IF(P60=1,MAX(0,V60-G60),0)</f>
        <v>0</v>
      </c>
    </row>
    <row r="61" customFormat="false" ht="15" hidden="false" customHeight="false" outlineLevel="0" collapsed="false">
      <c r="A61" s="8" t="n">
        <v>46187</v>
      </c>
      <c r="B61" s="9" t="n">
        <v>4</v>
      </c>
      <c r="C61" s="9" t="str">
        <f aca="false">"Unit "&amp;B61</f>
        <v>Unit 4</v>
      </c>
      <c r="D61" s="9"/>
      <c r="E61" s="9" t="n">
        <v>210</v>
      </c>
      <c r="F61" s="9" t="n">
        <v>4</v>
      </c>
      <c r="G61" s="9" t="n">
        <v>3.38</v>
      </c>
      <c r="H61" s="9" t="n">
        <v>0</v>
      </c>
      <c r="I61" s="9"/>
      <c r="J61" s="9"/>
      <c r="K61" s="9"/>
      <c r="L61" s="9" t="n">
        <f aca="false">E61*24/1000</f>
        <v>5.04</v>
      </c>
      <c r="M61" s="10" t="n">
        <f aca="false">G61/L61</f>
        <v>0.670634920634921</v>
      </c>
      <c r="N61" s="9" t="n">
        <f aca="false">G61-F61</f>
        <v>-0.62</v>
      </c>
      <c r="O61" s="10" t="n">
        <f aca="false">IF(F61=0,"",G61/F61)</f>
        <v>0.845</v>
      </c>
      <c r="P61" s="9" t="n">
        <f aca="false">IF(H61&gt;0,1,0)</f>
        <v>0</v>
      </c>
      <c r="Q61" s="9" t="n">
        <f aca="false">IF(G61=0,1,0)</f>
        <v>0</v>
      </c>
      <c r="R61" s="9" t="str">
        <f aca="false">TEXT(A61,"mmm")</f>
        <v>Jun</v>
      </c>
      <c r="S61" s="9" t="n">
        <f aca="false">WEEKNUM(A61,2)</f>
        <v>24</v>
      </c>
      <c r="T61" s="9" t="str">
        <f aca="false">IF(A61&lt;DATE(2026,6,30),"1-Pre-outage",IF(A61&lt;DATE(2026,7,5),"2-Transition","3-Outage-heavy"))</f>
        <v>1-Pre-outage</v>
      </c>
      <c r="U61" s="9" t="str">
        <f aca="false">IF(K61="","",IF(ISNUMBER(SEARCH("TURBINE",K61)),"Turbine",IF(ISNUMBER(SEARCH("GENERATOR",K61)),"Generator",IF(ISNUMBER(SEARCH("BOILER",K61)),"Boiler",IF(ISNUMBER(SEARCH("AIR PREHEATER",K61)),"Auxiliary",IF(ISNUMBER(SEARCH("ELECTRICAL",K61)),"Electrical","Other"))))))</f>
        <v/>
      </c>
      <c r="V61" s="9" t="n">
        <f aca="false">AVERAGEIFS(G:G,B:B,B61,H:H,0)</f>
        <v>3.53586206896552</v>
      </c>
      <c r="W61" s="9" t="n">
        <f aca="false">IF(P61=1,MAX(0,V61-G61),0)</f>
        <v>0</v>
      </c>
    </row>
    <row r="62" customFormat="false" ht="15" hidden="false" customHeight="false" outlineLevel="0" collapsed="false">
      <c r="A62" s="8" t="n">
        <v>46187</v>
      </c>
      <c r="B62" s="9" t="n">
        <v>5</v>
      </c>
      <c r="C62" s="9" t="str">
        <f aca="false">"Unit "&amp;B62</f>
        <v>Unit 5</v>
      </c>
      <c r="D62" s="9"/>
      <c r="E62" s="9" t="n">
        <v>210</v>
      </c>
      <c r="F62" s="9" t="n">
        <v>4</v>
      </c>
      <c r="G62" s="9" t="n">
        <v>3.67</v>
      </c>
      <c r="H62" s="9" t="n">
        <v>0</v>
      </c>
      <c r="I62" s="9"/>
      <c r="J62" s="9"/>
      <c r="K62" s="9"/>
      <c r="L62" s="9" t="n">
        <f aca="false">E62*24/1000</f>
        <v>5.04</v>
      </c>
      <c r="M62" s="10" t="n">
        <f aca="false">G62/L62</f>
        <v>0.728174603174603</v>
      </c>
      <c r="N62" s="9" t="n">
        <f aca="false">G62-F62</f>
        <v>-0.33</v>
      </c>
      <c r="O62" s="10" t="n">
        <f aca="false">IF(F62=0,"",G62/F62)</f>
        <v>0.9175</v>
      </c>
      <c r="P62" s="9" t="n">
        <f aca="false">IF(H62&gt;0,1,0)</f>
        <v>0</v>
      </c>
      <c r="Q62" s="9" t="n">
        <f aca="false">IF(G62=0,1,0)</f>
        <v>0</v>
      </c>
      <c r="R62" s="9" t="str">
        <f aca="false">TEXT(A62,"mmm")</f>
        <v>Jun</v>
      </c>
      <c r="S62" s="9" t="n">
        <f aca="false">WEEKNUM(A62,2)</f>
        <v>24</v>
      </c>
      <c r="T62" s="9" t="str">
        <f aca="false">IF(A62&lt;DATE(2026,6,30),"1-Pre-outage",IF(A62&lt;DATE(2026,7,5),"2-Transition","3-Outage-heavy"))</f>
        <v>1-Pre-outage</v>
      </c>
      <c r="U62" s="9" t="str">
        <f aca="false">IF(K62="","",IF(ISNUMBER(SEARCH("TURBINE",K62)),"Turbine",IF(ISNUMBER(SEARCH("GENERATOR",K62)),"Generator",IF(ISNUMBER(SEARCH("BOILER",K62)),"Boiler",IF(ISNUMBER(SEARCH("AIR PREHEATER",K62)),"Auxiliary",IF(ISNUMBER(SEARCH("ELECTRICAL",K62)),"Electrical","Other"))))))</f>
        <v/>
      </c>
      <c r="V62" s="9" t="n">
        <f aca="false">AVERAGEIFS(G:G,B:B,B62,H:H,0)</f>
        <v>3.98888888888889</v>
      </c>
      <c r="W62" s="9" t="n">
        <f aca="false">IF(P62=1,MAX(0,V62-G62),0)</f>
        <v>0</v>
      </c>
    </row>
    <row r="63" customFormat="false" ht="15" hidden="false" customHeight="false" outlineLevel="0" collapsed="false">
      <c r="A63" s="8" t="n">
        <v>46187</v>
      </c>
      <c r="B63" s="9" t="n">
        <v>6</v>
      </c>
      <c r="C63" s="9" t="str">
        <f aca="false">"Unit "&amp;B63</f>
        <v>Unit 6</v>
      </c>
      <c r="D63" s="9"/>
      <c r="E63" s="9" t="n">
        <v>195</v>
      </c>
      <c r="F63" s="9" t="n">
        <v>4.1</v>
      </c>
      <c r="G63" s="9" t="n">
        <v>3.85</v>
      </c>
      <c r="H63" s="9" t="n">
        <v>0</v>
      </c>
      <c r="I63" s="9"/>
      <c r="J63" s="9"/>
      <c r="K63" s="9"/>
      <c r="L63" s="9" t="n">
        <f aca="false">E63*24/1000</f>
        <v>4.68</v>
      </c>
      <c r="M63" s="10" t="n">
        <f aca="false">G63/L63</f>
        <v>0.822649572649573</v>
      </c>
      <c r="N63" s="9" t="n">
        <f aca="false">G63-F63</f>
        <v>-0.25</v>
      </c>
      <c r="O63" s="10" t="n">
        <f aca="false">IF(F63=0,"",G63/F63)</f>
        <v>0.939024390243903</v>
      </c>
      <c r="P63" s="9" t="n">
        <f aca="false">IF(H63&gt;0,1,0)</f>
        <v>0</v>
      </c>
      <c r="Q63" s="9" t="n">
        <f aca="false">IF(G63=0,1,0)</f>
        <v>0</v>
      </c>
      <c r="R63" s="9" t="str">
        <f aca="false">TEXT(A63,"mmm")</f>
        <v>Jun</v>
      </c>
      <c r="S63" s="9" t="n">
        <f aca="false">WEEKNUM(A63,2)</f>
        <v>24</v>
      </c>
      <c r="T63" s="9" t="str">
        <f aca="false">IF(A63&lt;DATE(2026,6,30),"1-Pre-outage",IF(A63&lt;DATE(2026,7,5),"2-Transition","3-Outage-heavy"))</f>
        <v>1-Pre-outage</v>
      </c>
      <c r="U63" s="9" t="str">
        <f aca="false">IF(K63="","",IF(ISNUMBER(SEARCH("TURBINE",K63)),"Turbine",IF(ISNUMBER(SEARCH("GENERATOR",K63)),"Generator",IF(ISNUMBER(SEARCH("BOILER",K63)),"Boiler",IF(ISNUMBER(SEARCH("AIR PREHEATER",K63)),"Auxiliary",IF(ISNUMBER(SEARCH("ELECTRICAL",K63)),"Electrical","Other"))))))</f>
        <v/>
      </c>
      <c r="V63" s="9" t="n">
        <f aca="false">AVERAGEIFS(G:G,B:B,B63,H:H,0)</f>
        <v>3.85377777777778</v>
      </c>
      <c r="W63" s="9" t="n">
        <f aca="false">IF(P63=1,MAX(0,V63-G63),0)</f>
        <v>0</v>
      </c>
    </row>
    <row r="64" customFormat="false" ht="15" hidden="false" customHeight="false" outlineLevel="0" collapsed="false">
      <c r="A64" s="8" t="n">
        <v>46187</v>
      </c>
      <c r="B64" s="9" t="n">
        <v>7</v>
      </c>
      <c r="C64" s="9" t="str">
        <f aca="false">"Unit "&amp;B64</f>
        <v>Unit 7</v>
      </c>
      <c r="D64" s="9"/>
      <c r="E64" s="9" t="n">
        <v>195</v>
      </c>
      <c r="F64" s="9" t="n">
        <v>4.1</v>
      </c>
      <c r="G64" s="9" t="n">
        <v>3.72</v>
      </c>
      <c r="H64" s="9" t="n">
        <v>0</v>
      </c>
      <c r="I64" s="9"/>
      <c r="J64" s="9"/>
      <c r="K64" s="9"/>
      <c r="L64" s="9" t="n">
        <f aca="false">E64*24/1000</f>
        <v>4.68</v>
      </c>
      <c r="M64" s="10" t="n">
        <f aca="false">G64/L64</f>
        <v>0.794871794871795</v>
      </c>
      <c r="N64" s="9" t="n">
        <f aca="false">G64-F64</f>
        <v>-0.379999999999999</v>
      </c>
      <c r="O64" s="10" t="n">
        <f aca="false">IF(F64=0,"",G64/F64)</f>
        <v>0.907317073170732</v>
      </c>
      <c r="P64" s="9" t="n">
        <f aca="false">IF(H64&gt;0,1,0)</f>
        <v>0</v>
      </c>
      <c r="Q64" s="9" t="n">
        <f aca="false">IF(G64=0,1,0)</f>
        <v>0</v>
      </c>
      <c r="R64" s="9" t="str">
        <f aca="false">TEXT(A64,"mmm")</f>
        <v>Jun</v>
      </c>
      <c r="S64" s="9" t="n">
        <f aca="false">WEEKNUM(A64,2)</f>
        <v>24</v>
      </c>
      <c r="T64" s="9" t="str">
        <f aca="false">IF(A64&lt;DATE(2026,6,30),"1-Pre-outage",IF(A64&lt;DATE(2026,7,5),"2-Transition","3-Outage-heavy"))</f>
        <v>1-Pre-outage</v>
      </c>
      <c r="U64" s="9" t="str">
        <f aca="false">IF(K64="","",IF(ISNUMBER(SEARCH("TURBINE",K64)),"Turbine",IF(ISNUMBER(SEARCH("GENERATOR",K64)),"Generator",IF(ISNUMBER(SEARCH("BOILER",K64)),"Boiler",IF(ISNUMBER(SEARCH("AIR PREHEATER",K64)),"Auxiliary",IF(ISNUMBER(SEARCH("ELECTRICAL",K64)),"Electrical","Other"))))))</f>
        <v/>
      </c>
      <c r="V64" s="9" t="n">
        <f aca="false">AVERAGEIFS(G:G,B:B,B64,H:H,0)</f>
        <v>3.98375</v>
      </c>
      <c r="W64" s="9" t="n">
        <f aca="false">IF(P64=1,MAX(0,V64-G64),0)</f>
        <v>0</v>
      </c>
    </row>
    <row r="65" customFormat="false" ht="15" hidden="false" customHeight="false" outlineLevel="0" collapsed="false">
      <c r="A65" s="8" t="n">
        <v>46188</v>
      </c>
      <c r="B65" s="9" t="n">
        <v>1</v>
      </c>
      <c r="C65" s="9" t="str">
        <f aca="false">"Unit "&amp;B65</f>
        <v>Unit 1</v>
      </c>
      <c r="D65" s="9"/>
      <c r="E65" s="9" t="n">
        <v>110</v>
      </c>
      <c r="F65" s="9" t="n">
        <v>1.93</v>
      </c>
      <c r="G65" s="9" t="n">
        <v>1.54</v>
      </c>
      <c r="H65" s="9" t="n">
        <v>0</v>
      </c>
      <c r="I65" s="9"/>
      <c r="J65" s="9"/>
      <c r="K65" s="9"/>
      <c r="L65" s="9" t="n">
        <f aca="false">E65*24/1000</f>
        <v>2.64</v>
      </c>
      <c r="M65" s="10" t="n">
        <f aca="false">G65/L65</f>
        <v>0.583333333333333</v>
      </c>
      <c r="N65" s="9" t="n">
        <f aca="false">G65-F65</f>
        <v>-0.39</v>
      </c>
      <c r="O65" s="10" t="n">
        <f aca="false">IF(F65=0,"",G65/F65)</f>
        <v>0.797927461139896</v>
      </c>
      <c r="P65" s="9" t="n">
        <f aca="false">IF(H65&gt;0,1,0)</f>
        <v>0</v>
      </c>
      <c r="Q65" s="9" t="n">
        <f aca="false">IF(G65=0,1,0)</f>
        <v>0</v>
      </c>
      <c r="R65" s="9" t="str">
        <f aca="false">TEXT(A65,"mmm")</f>
        <v>Jun</v>
      </c>
      <c r="S65" s="9" t="n">
        <f aca="false">WEEKNUM(A65,2)</f>
        <v>25</v>
      </c>
      <c r="T65" s="9" t="str">
        <f aca="false">IF(A65&lt;DATE(2026,6,30),"1-Pre-outage",IF(A65&lt;DATE(2026,7,5),"2-Transition","3-Outage-heavy"))</f>
        <v>1-Pre-outage</v>
      </c>
      <c r="U65" s="9" t="str">
        <f aca="false">IF(K65="","",IF(ISNUMBER(SEARCH("TURBINE",K65)),"Turbine",IF(ISNUMBER(SEARCH("GENERATOR",K65)),"Generator",IF(ISNUMBER(SEARCH("BOILER",K65)),"Boiler",IF(ISNUMBER(SEARCH("AIR PREHEATER",K65)),"Auxiliary",IF(ISNUMBER(SEARCH("ELECTRICAL",K65)),"Electrical","Other"))))))</f>
        <v/>
      </c>
      <c r="V65" s="9" t="n">
        <f aca="false">AVERAGEIFS(G:G,B:B,B65,H:H,0)</f>
        <v>1.61181818181818</v>
      </c>
      <c r="W65" s="9" t="n">
        <f aca="false">IF(P65=1,MAX(0,V65-G65),0)</f>
        <v>0</v>
      </c>
    </row>
    <row r="66" customFormat="false" ht="15" hidden="false" customHeight="false" outlineLevel="0" collapsed="false">
      <c r="A66" s="8" t="n">
        <v>46188</v>
      </c>
      <c r="B66" s="9" t="n">
        <v>2</v>
      </c>
      <c r="C66" s="9" t="str">
        <f aca="false">"Unit "&amp;B66</f>
        <v>Unit 2</v>
      </c>
      <c r="D66" s="9"/>
      <c r="E66" s="9" t="n">
        <v>110</v>
      </c>
      <c r="F66" s="9" t="n">
        <v>1.93</v>
      </c>
      <c r="G66" s="9" t="n">
        <v>1.56</v>
      </c>
      <c r="H66" s="9" t="n">
        <v>0</v>
      </c>
      <c r="I66" s="9"/>
      <c r="J66" s="9"/>
      <c r="K66" s="9"/>
      <c r="L66" s="9" t="n">
        <f aca="false">E66*24/1000</f>
        <v>2.64</v>
      </c>
      <c r="M66" s="10" t="n">
        <f aca="false">G66/L66</f>
        <v>0.590909090909091</v>
      </c>
      <c r="N66" s="9" t="n">
        <f aca="false">G66-F66</f>
        <v>-0.37</v>
      </c>
      <c r="O66" s="10" t="n">
        <f aca="false">IF(F66=0,"",G66/F66)</f>
        <v>0.808290155440415</v>
      </c>
      <c r="P66" s="9" t="n">
        <f aca="false">IF(H66&gt;0,1,0)</f>
        <v>0</v>
      </c>
      <c r="Q66" s="9" t="n">
        <f aca="false">IF(G66=0,1,0)</f>
        <v>0</v>
      </c>
      <c r="R66" s="9" t="str">
        <f aca="false">TEXT(A66,"mmm")</f>
        <v>Jun</v>
      </c>
      <c r="S66" s="9" t="n">
        <f aca="false">WEEKNUM(A66,2)</f>
        <v>25</v>
      </c>
      <c r="T66" s="9" t="str">
        <f aca="false">IF(A66&lt;DATE(2026,6,30),"1-Pre-outage",IF(A66&lt;DATE(2026,7,5),"2-Transition","3-Outage-heavy"))</f>
        <v>1-Pre-outage</v>
      </c>
      <c r="U66" s="9" t="str">
        <f aca="false">IF(K66="","",IF(ISNUMBER(SEARCH("TURBINE",K66)),"Turbine",IF(ISNUMBER(SEARCH("GENERATOR",K66)),"Generator",IF(ISNUMBER(SEARCH("BOILER",K66)),"Boiler",IF(ISNUMBER(SEARCH("AIR PREHEATER",K66)),"Auxiliary",IF(ISNUMBER(SEARCH("ELECTRICAL",K66)),"Electrical","Other"))))))</f>
        <v/>
      </c>
      <c r="V66" s="9" t="n">
        <f aca="false">AVERAGEIFS(G:G,B:B,B66,H:H,0)</f>
        <v>1.67955555555556</v>
      </c>
      <c r="W66" s="9" t="n">
        <f aca="false">IF(P66=1,MAX(0,V66-G66),0)</f>
        <v>0</v>
      </c>
    </row>
    <row r="67" customFormat="false" ht="15" hidden="false" customHeight="false" outlineLevel="0" collapsed="false">
      <c r="A67" s="8" t="n">
        <v>46188</v>
      </c>
      <c r="B67" s="9" t="n">
        <v>3</v>
      </c>
      <c r="C67" s="9" t="str">
        <f aca="false">"Unit "&amp;B67</f>
        <v>Unit 3</v>
      </c>
      <c r="D67" s="9"/>
      <c r="E67" s="9" t="n">
        <v>210</v>
      </c>
      <c r="F67" s="9" t="n">
        <v>3.9</v>
      </c>
      <c r="G67" s="9" t="n">
        <v>3.5</v>
      </c>
      <c r="H67" s="9" t="n">
        <v>0</v>
      </c>
      <c r="I67" s="9"/>
      <c r="J67" s="9"/>
      <c r="K67" s="9"/>
      <c r="L67" s="9" t="n">
        <f aca="false">E67*24/1000</f>
        <v>5.04</v>
      </c>
      <c r="M67" s="10" t="n">
        <f aca="false">G67/L67</f>
        <v>0.694444444444444</v>
      </c>
      <c r="N67" s="9" t="n">
        <f aca="false">G67-F67</f>
        <v>-0.4</v>
      </c>
      <c r="O67" s="10" t="n">
        <f aca="false">IF(F67=0,"",G67/F67)</f>
        <v>0.897435897435898</v>
      </c>
      <c r="P67" s="9" t="n">
        <f aca="false">IF(H67&gt;0,1,0)</f>
        <v>0</v>
      </c>
      <c r="Q67" s="9" t="n">
        <f aca="false">IF(G67=0,1,0)</f>
        <v>0</v>
      </c>
      <c r="R67" s="9" t="str">
        <f aca="false">TEXT(A67,"mmm")</f>
        <v>Jun</v>
      </c>
      <c r="S67" s="9" t="n">
        <f aca="false">WEEKNUM(A67,2)</f>
        <v>25</v>
      </c>
      <c r="T67" s="9" t="str">
        <f aca="false">IF(A67&lt;DATE(2026,6,30),"1-Pre-outage",IF(A67&lt;DATE(2026,7,5),"2-Transition","3-Outage-heavy"))</f>
        <v>1-Pre-outage</v>
      </c>
      <c r="U67" s="9" t="str">
        <f aca="false">IF(K67="","",IF(ISNUMBER(SEARCH("TURBINE",K67)),"Turbine",IF(ISNUMBER(SEARCH("GENERATOR",K67)),"Generator",IF(ISNUMBER(SEARCH("BOILER",K67)),"Boiler",IF(ISNUMBER(SEARCH("AIR PREHEATER",K67)),"Auxiliary",IF(ISNUMBER(SEARCH("ELECTRICAL",K67)),"Electrical","Other"))))))</f>
        <v/>
      </c>
      <c r="V67" s="9" t="n">
        <f aca="false">AVERAGEIFS(G:G,B:B,B67,H:H,0)</f>
        <v>3.72697674418605</v>
      </c>
      <c r="W67" s="9" t="n">
        <f aca="false">IF(P67=1,MAX(0,V67-G67),0)</f>
        <v>0</v>
      </c>
    </row>
    <row r="68" customFormat="false" ht="15" hidden="false" customHeight="false" outlineLevel="0" collapsed="false">
      <c r="A68" s="8" t="n">
        <v>46188</v>
      </c>
      <c r="B68" s="9" t="n">
        <v>4</v>
      </c>
      <c r="C68" s="9" t="str">
        <f aca="false">"Unit "&amp;B68</f>
        <v>Unit 4</v>
      </c>
      <c r="D68" s="9"/>
      <c r="E68" s="9" t="n">
        <v>210</v>
      </c>
      <c r="F68" s="9" t="n">
        <v>0</v>
      </c>
      <c r="G68" s="9" t="n">
        <v>3.38</v>
      </c>
      <c r="H68" s="9" t="n">
        <v>0</v>
      </c>
      <c r="I68" s="9"/>
      <c r="J68" s="9"/>
      <c r="K68" s="9"/>
      <c r="L68" s="9" t="n">
        <f aca="false">E68*24/1000</f>
        <v>5.04</v>
      </c>
      <c r="M68" s="10" t="n">
        <f aca="false">G68/L68</f>
        <v>0.670634920634921</v>
      </c>
      <c r="N68" s="9" t="n">
        <f aca="false">G68-F68</f>
        <v>3.38</v>
      </c>
      <c r="O68" s="10" t="str">
        <f aca="false">IF(F68=0,"",G68/F68)</f>
        <v/>
      </c>
      <c r="P68" s="9" t="n">
        <f aca="false">IF(H68&gt;0,1,0)</f>
        <v>0</v>
      </c>
      <c r="Q68" s="9" t="n">
        <f aca="false">IF(G68=0,1,0)</f>
        <v>0</v>
      </c>
      <c r="R68" s="9" t="str">
        <f aca="false">TEXT(A68,"mmm")</f>
        <v>Jun</v>
      </c>
      <c r="S68" s="9" t="n">
        <f aca="false">WEEKNUM(A68,2)</f>
        <v>25</v>
      </c>
      <c r="T68" s="9" t="str">
        <f aca="false">IF(A68&lt;DATE(2026,6,30),"1-Pre-outage",IF(A68&lt;DATE(2026,7,5),"2-Transition","3-Outage-heavy"))</f>
        <v>1-Pre-outage</v>
      </c>
      <c r="U68" s="9" t="str">
        <f aca="false">IF(K68="","",IF(ISNUMBER(SEARCH("TURBINE",K68)),"Turbine",IF(ISNUMBER(SEARCH("GENERATOR",K68)),"Generator",IF(ISNUMBER(SEARCH("BOILER",K68)),"Boiler",IF(ISNUMBER(SEARCH("AIR PREHEATER",K68)),"Auxiliary",IF(ISNUMBER(SEARCH("ELECTRICAL",K68)),"Electrical","Other"))))))</f>
        <v/>
      </c>
      <c r="V68" s="9" t="n">
        <f aca="false">AVERAGEIFS(G:G,B:B,B68,H:H,0)</f>
        <v>3.53586206896552</v>
      </c>
      <c r="W68" s="9" t="n">
        <f aca="false">IF(P68=1,MAX(0,V68-G68),0)</f>
        <v>0</v>
      </c>
    </row>
    <row r="69" customFormat="false" ht="15" hidden="false" customHeight="false" outlineLevel="0" collapsed="false">
      <c r="A69" s="8" t="n">
        <v>46188</v>
      </c>
      <c r="B69" s="9" t="n">
        <v>5</v>
      </c>
      <c r="C69" s="9" t="str">
        <f aca="false">"Unit "&amp;B69</f>
        <v>Unit 5</v>
      </c>
      <c r="D69" s="9"/>
      <c r="E69" s="9" t="n">
        <v>210</v>
      </c>
      <c r="F69" s="9" t="n">
        <v>4</v>
      </c>
      <c r="G69" s="9" t="n">
        <v>3.75</v>
      </c>
      <c r="H69" s="9" t="n">
        <v>0</v>
      </c>
      <c r="I69" s="9"/>
      <c r="J69" s="9"/>
      <c r="K69" s="9"/>
      <c r="L69" s="9" t="n">
        <f aca="false">E69*24/1000</f>
        <v>5.04</v>
      </c>
      <c r="M69" s="10" t="n">
        <f aca="false">G69/L69</f>
        <v>0.744047619047619</v>
      </c>
      <c r="N69" s="9" t="n">
        <f aca="false">G69-F69</f>
        <v>-0.25</v>
      </c>
      <c r="O69" s="10" t="n">
        <f aca="false">IF(F69=0,"",G69/F69)</f>
        <v>0.9375</v>
      </c>
      <c r="P69" s="9" t="n">
        <f aca="false">IF(H69&gt;0,1,0)</f>
        <v>0</v>
      </c>
      <c r="Q69" s="9" t="n">
        <f aca="false">IF(G69=0,1,0)</f>
        <v>0</v>
      </c>
      <c r="R69" s="9" t="str">
        <f aca="false">TEXT(A69,"mmm")</f>
        <v>Jun</v>
      </c>
      <c r="S69" s="9" t="n">
        <f aca="false">WEEKNUM(A69,2)</f>
        <v>25</v>
      </c>
      <c r="T69" s="9" t="str">
        <f aca="false">IF(A69&lt;DATE(2026,6,30),"1-Pre-outage",IF(A69&lt;DATE(2026,7,5),"2-Transition","3-Outage-heavy"))</f>
        <v>1-Pre-outage</v>
      </c>
      <c r="U69" s="9" t="str">
        <f aca="false">IF(K69="","",IF(ISNUMBER(SEARCH("TURBINE",K69)),"Turbine",IF(ISNUMBER(SEARCH("GENERATOR",K69)),"Generator",IF(ISNUMBER(SEARCH("BOILER",K69)),"Boiler",IF(ISNUMBER(SEARCH("AIR PREHEATER",K69)),"Auxiliary",IF(ISNUMBER(SEARCH("ELECTRICAL",K69)),"Electrical","Other"))))))</f>
        <v/>
      </c>
      <c r="V69" s="9" t="n">
        <f aca="false">AVERAGEIFS(G:G,B:B,B69,H:H,0)</f>
        <v>3.98888888888889</v>
      </c>
      <c r="W69" s="9" t="n">
        <f aca="false">IF(P69=1,MAX(0,V69-G69),0)</f>
        <v>0</v>
      </c>
    </row>
    <row r="70" customFormat="false" ht="15" hidden="false" customHeight="false" outlineLevel="0" collapsed="false">
      <c r="A70" s="8" t="n">
        <v>46188</v>
      </c>
      <c r="B70" s="9" t="n">
        <v>6</v>
      </c>
      <c r="C70" s="9" t="str">
        <f aca="false">"Unit "&amp;B70</f>
        <v>Unit 6</v>
      </c>
      <c r="D70" s="9"/>
      <c r="E70" s="9" t="n">
        <v>195</v>
      </c>
      <c r="F70" s="9" t="n">
        <v>4.1</v>
      </c>
      <c r="G70" s="9" t="n">
        <v>3.85</v>
      </c>
      <c r="H70" s="9" t="n">
        <v>0</v>
      </c>
      <c r="I70" s="9"/>
      <c r="J70" s="9"/>
      <c r="K70" s="9"/>
      <c r="L70" s="9" t="n">
        <f aca="false">E70*24/1000</f>
        <v>4.68</v>
      </c>
      <c r="M70" s="10" t="n">
        <f aca="false">G70/L70</f>
        <v>0.822649572649573</v>
      </c>
      <c r="N70" s="9" t="n">
        <f aca="false">G70-F70</f>
        <v>-0.25</v>
      </c>
      <c r="O70" s="10" t="n">
        <f aca="false">IF(F70=0,"",G70/F70)</f>
        <v>0.939024390243903</v>
      </c>
      <c r="P70" s="9" t="n">
        <f aca="false">IF(H70&gt;0,1,0)</f>
        <v>0</v>
      </c>
      <c r="Q70" s="9" t="n">
        <f aca="false">IF(G70=0,1,0)</f>
        <v>0</v>
      </c>
      <c r="R70" s="9" t="str">
        <f aca="false">TEXT(A70,"mmm")</f>
        <v>Jun</v>
      </c>
      <c r="S70" s="9" t="n">
        <f aca="false">WEEKNUM(A70,2)</f>
        <v>25</v>
      </c>
      <c r="T70" s="9" t="str">
        <f aca="false">IF(A70&lt;DATE(2026,6,30),"1-Pre-outage",IF(A70&lt;DATE(2026,7,5),"2-Transition","3-Outage-heavy"))</f>
        <v>1-Pre-outage</v>
      </c>
      <c r="U70" s="9" t="str">
        <f aca="false">IF(K70="","",IF(ISNUMBER(SEARCH("TURBINE",K70)),"Turbine",IF(ISNUMBER(SEARCH("GENERATOR",K70)),"Generator",IF(ISNUMBER(SEARCH("BOILER",K70)),"Boiler",IF(ISNUMBER(SEARCH("AIR PREHEATER",K70)),"Auxiliary",IF(ISNUMBER(SEARCH("ELECTRICAL",K70)),"Electrical","Other"))))))</f>
        <v/>
      </c>
      <c r="V70" s="9" t="n">
        <f aca="false">AVERAGEIFS(G:G,B:B,B70,H:H,0)</f>
        <v>3.85377777777778</v>
      </c>
      <c r="W70" s="9" t="n">
        <f aca="false">IF(P70=1,MAX(0,V70-G70),0)</f>
        <v>0</v>
      </c>
    </row>
    <row r="71" customFormat="false" ht="15" hidden="false" customHeight="false" outlineLevel="0" collapsed="false">
      <c r="A71" s="8" t="n">
        <v>46188</v>
      </c>
      <c r="B71" s="9" t="n">
        <v>7</v>
      </c>
      <c r="C71" s="9" t="str">
        <f aca="false">"Unit "&amp;B71</f>
        <v>Unit 7</v>
      </c>
      <c r="D71" s="9"/>
      <c r="E71" s="9" t="n">
        <v>195</v>
      </c>
      <c r="F71" s="9" t="n">
        <v>4.1</v>
      </c>
      <c r="G71" s="9" t="n">
        <v>3.72</v>
      </c>
      <c r="H71" s="9" t="n">
        <v>0</v>
      </c>
      <c r="I71" s="9"/>
      <c r="J71" s="9"/>
      <c r="K71" s="9"/>
      <c r="L71" s="9" t="n">
        <f aca="false">E71*24/1000</f>
        <v>4.68</v>
      </c>
      <c r="M71" s="10" t="n">
        <f aca="false">G71/L71</f>
        <v>0.794871794871795</v>
      </c>
      <c r="N71" s="9" t="n">
        <f aca="false">G71-F71</f>
        <v>-0.379999999999999</v>
      </c>
      <c r="O71" s="10" t="n">
        <f aca="false">IF(F71=0,"",G71/F71)</f>
        <v>0.907317073170732</v>
      </c>
      <c r="P71" s="9" t="n">
        <f aca="false">IF(H71&gt;0,1,0)</f>
        <v>0</v>
      </c>
      <c r="Q71" s="9" t="n">
        <f aca="false">IF(G71=0,1,0)</f>
        <v>0</v>
      </c>
      <c r="R71" s="9" t="str">
        <f aca="false">TEXT(A71,"mmm")</f>
        <v>Jun</v>
      </c>
      <c r="S71" s="9" t="n">
        <f aca="false">WEEKNUM(A71,2)</f>
        <v>25</v>
      </c>
      <c r="T71" s="9" t="str">
        <f aca="false">IF(A71&lt;DATE(2026,6,30),"1-Pre-outage",IF(A71&lt;DATE(2026,7,5),"2-Transition","3-Outage-heavy"))</f>
        <v>1-Pre-outage</v>
      </c>
      <c r="U71" s="9" t="str">
        <f aca="false">IF(K71="","",IF(ISNUMBER(SEARCH("TURBINE",K71)),"Turbine",IF(ISNUMBER(SEARCH("GENERATOR",K71)),"Generator",IF(ISNUMBER(SEARCH("BOILER",K71)),"Boiler",IF(ISNUMBER(SEARCH("AIR PREHEATER",K71)),"Auxiliary",IF(ISNUMBER(SEARCH("ELECTRICAL",K71)),"Electrical","Other"))))))</f>
        <v/>
      </c>
      <c r="V71" s="9" t="n">
        <f aca="false">AVERAGEIFS(G:G,B:B,B71,H:H,0)</f>
        <v>3.98375</v>
      </c>
      <c r="W71" s="9" t="n">
        <f aca="false">IF(P71=1,MAX(0,V71-G71),0)</f>
        <v>0</v>
      </c>
    </row>
    <row r="72" customFormat="false" ht="15" hidden="false" customHeight="false" outlineLevel="0" collapsed="false">
      <c r="A72" s="8" t="n">
        <v>46189</v>
      </c>
      <c r="B72" s="9" t="n">
        <v>1</v>
      </c>
      <c r="C72" s="9" t="str">
        <f aca="false">"Unit "&amp;B72</f>
        <v>Unit 1</v>
      </c>
      <c r="D72" s="9"/>
      <c r="E72" s="9" t="n">
        <v>110</v>
      </c>
      <c r="F72" s="9" t="n">
        <v>1.93</v>
      </c>
      <c r="G72" s="9" t="n">
        <v>1.68</v>
      </c>
      <c r="H72" s="9" t="n">
        <v>0</v>
      </c>
      <c r="I72" s="9"/>
      <c r="J72" s="9"/>
      <c r="K72" s="9"/>
      <c r="L72" s="9" t="n">
        <f aca="false">E72*24/1000</f>
        <v>2.64</v>
      </c>
      <c r="M72" s="10" t="n">
        <f aca="false">G72/L72</f>
        <v>0.636363636363636</v>
      </c>
      <c r="N72" s="9" t="n">
        <f aca="false">G72-F72</f>
        <v>-0.25</v>
      </c>
      <c r="O72" s="10" t="n">
        <f aca="false">IF(F72=0,"",G72/F72)</f>
        <v>0.870466321243523</v>
      </c>
      <c r="P72" s="9" t="n">
        <f aca="false">IF(H72&gt;0,1,0)</f>
        <v>0</v>
      </c>
      <c r="Q72" s="9" t="n">
        <f aca="false">IF(G72=0,1,0)</f>
        <v>0</v>
      </c>
      <c r="R72" s="9" t="str">
        <f aca="false">TEXT(A72,"mmm")</f>
        <v>Jun</v>
      </c>
      <c r="S72" s="9" t="n">
        <f aca="false">WEEKNUM(A72,2)</f>
        <v>25</v>
      </c>
      <c r="T72" s="9" t="str">
        <f aca="false">IF(A72&lt;DATE(2026,6,30),"1-Pre-outage",IF(A72&lt;DATE(2026,7,5),"2-Transition","3-Outage-heavy"))</f>
        <v>1-Pre-outage</v>
      </c>
      <c r="U72" s="9" t="str">
        <f aca="false">IF(K72="","",IF(ISNUMBER(SEARCH("TURBINE",K72)),"Turbine",IF(ISNUMBER(SEARCH("GENERATOR",K72)),"Generator",IF(ISNUMBER(SEARCH("BOILER",K72)),"Boiler",IF(ISNUMBER(SEARCH("AIR PREHEATER",K72)),"Auxiliary",IF(ISNUMBER(SEARCH("ELECTRICAL",K72)),"Electrical","Other"))))))</f>
        <v/>
      </c>
      <c r="V72" s="9" t="n">
        <f aca="false">AVERAGEIFS(G:G,B:B,B72,H:H,0)</f>
        <v>1.61181818181818</v>
      </c>
      <c r="W72" s="9" t="n">
        <f aca="false">IF(P72=1,MAX(0,V72-G72),0)</f>
        <v>0</v>
      </c>
    </row>
    <row r="73" customFormat="false" ht="15" hidden="false" customHeight="false" outlineLevel="0" collapsed="false">
      <c r="A73" s="8" t="n">
        <v>46189</v>
      </c>
      <c r="B73" s="9" t="n">
        <v>2</v>
      </c>
      <c r="C73" s="9" t="str">
        <f aca="false">"Unit "&amp;B73</f>
        <v>Unit 2</v>
      </c>
      <c r="D73" s="9"/>
      <c r="E73" s="9" t="n">
        <v>110</v>
      </c>
      <c r="F73" s="9" t="n">
        <v>1.93</v>
      </c>
      <c r="G73" s="9" t="n">
        <v>1.73</v>
      </c>
      <c r="H73" s="9" t="n">
        <v>0</v>
      </c>
      <c r="I73" s="9"/>
      <c r="J73" s="9"/>
      <c r="K73" s="9"/>
      <c r="L73" s="9" t="n">
        <f aca="false">E73*24/1000</f>
        <v>2.64</v>
      </c>
      <c r="M73" s="10" t="n">
        <f aca="false">G73/L73</f>
        <v>0.65530303030303</v>
      </c>
      <c r="N73" s="9" t="n">
        <f aca="false">G73-F73</f>
        <v>-0.2</v>
      </c>
      <c r="O73" s="10" t="n">
        <f aca="false">IF(F73=0,"",G73/F73)</f>
        <v>0.896373056994819</v>
      </c>
      <c r="P73" s="9" t="n">
        <f aca="false">IF(H73&gt;0,1,0)</f>
        <v>0</v>
      </c>
      <c r="Q73" s="9" t="n">
        <f aca="false">IF(G73=0,1,0)</f>
        <v>0</v>
      </c>
      <c r="R73" s="9" t="str">
        <f aca="false">TEXT(A73,"mmm")</f>
        <v>Jun</v>
      </c>
      <c r="S73" s="9" t="n">
        <f aca="false">WEEKNUM(A73,2)</f>
        <v>25</v>
      </c>
      <c r="T73" s="9" t="str">
        <f aca="false">IF(A73&lt;DATE(2026,6,30),"1-Pre-outage",IF(A73&lt;DATE(2026,7,5),"2-Transition","3-Outage-heavy"))</f>
        <v>1-Pre-outage</v>
      </c>
      <c r="U73" s="9" t="str">
        <f aca="false">IF(K73="","",IF(ISNUMBER(SEARCH("TURBINE",K73)),"Turbine",IF(ISNUMBER(SEARCH("GENERATOR",K73)),"Generator",IF(ISNUMBER(SEARCH("BOILER",K73)),"Boiler",IF(ISNUMBER(SEARCH("AIR PREHEATER",K73)),"Auxiliary",IF(ISNUMBER(SEARCH("ELECTRICAL",K73)),"Electrical","Other"))))))</f>
        <v/>
      </c>
      <c r="V73" s="9" t="n">
        <f aca="false">AVERAGEIFS(G:G,B:B,B73,H:H,0)</f>
        <v>1.67955555555556</v>
      </c>
      <c r="W73" s="9" t="n">
        <f aca="false">IF(P73=1,MAX(0,V73-G73),0)</f>
        <v>0</v>
      </c>
    </row>
    <row r="74" customFormat="false" ht="15" hidden="false" customHeight="false" outlineLevel="0" collapsed="false">
      <c r="A74" s="8" t="n">
        <v>46189</v>
      </c>
      <c r="B74" s="9" t="n">
        <v>3</v>
      </c>
      <c r="C74" s="9" t="str">
        <f aca="false">"Unit "&amp;B74</f>
        <v>Unit 3</v>
      </c>
      <c r="D74" s="9"/>
      <c r="E74" s="9" t="n">
        <v>210</v>
      </c>
      <c r="F74" s="9" t="n">
        <v>3.9</v>
      </c>
      <c r="G74" s="9" t="n">
        <v>3.79</v>
      </c>
      <c r="H74" s="9" t="n">
        <v>0</v>
      </c>
      <c r="I74" s="9"/>
      <c r="J74" s="9"/>
      <c r="K74" s="9"/>
      <c r="L74" s="9" t="n">
        <f aca="false">E74*24/1000</f>
        <v>5.04</v>
      </c>
      <c r="M74" s="10" t="n">
        <f aca="false">G74/L74</f>
        <v>0.751984126984127</v>
      </c>
      <c r="N74" s="9" t="n">
        <f aca="false">G74-F74</f>
        <v>-0.11</v>
      </c>
      <c r="O74" s="10" t="n">
        <f aca="false">IF(F74=0,"",G74/F74)</f>
        <v>0.971794871794872</v>
      </c>
      <c r="P74" s="9" t="n">
        <f aca="false">IF(H74&gt;0,1,0)</f>
        <v>0</v>
      </c>
      <c r="Q74" s="9" t="n">
        <f aca="false">IF(G74=0,1,0)</f>
        <v>0</v>
      </c>
      <c r="R74" s="9" t="str">
        <f aca="false">TEXT(A74,"mmm")</f>
        <v>Jun</v>
      </c>
      <c r="S74" s="9" t="n">
        <f aca="false">WEEKNUM(A74,2)</f>
        <v>25</v>
      </c>
      <c r="T74" s="9" t="str">
        <f aca="false">IF(A74&lt;DATE(2026,6,30),"1-Pre-outage",IF(A74&lt;DATE(2026,7,5),"2-Transition","3-Outage-heavy"))</f>
        <v>1-Pre-outage</v>
      </c>
      <c r="U74" s="9" t="str">
        <f aca="false">IF(K74="","",IF(ISNUMBER(SEARCH("TURBINE",K74)),"Turbine",IF(ISNUMBER(SEARCH("GENERATOR",K74)),"Generator",IF(ISNUMBER(SEARCH("BOILER",K74)),"Boiler",IF(ISNUMBER(SEARCH("AIR PREHEATER",K74)),"Auxiliary",IF(ISNUMBER(SEARCH("ELECTRICAL",K74)),"Electrical","Other"))))))</f>
        <v/>
      </c>
      <c r="V74" s="9" t="n">
        <f aca="false">AVERAGEIFS(G:G,B:B,B74,H:H,0)</f>
        <v>3.72697674418605</v>
      </c>
      <c r="W74" s="9" t="n">
        <f aca="false">IF(P74=1,MAX(0,V74-G74),0)</f>
        <v>0</v>
      </c>
    </row>
    <row r="75" customFormat="false" ht="15" hidden="false" customHeight="false" outlineLevel="0" collapsed="false">
      <c r="A75" s="8" t="n">
        <v>46189</v>
      </c>
      <c r="B75" s="9" t="n">
        <v>4</v>
      </c>
      <c r="C75" s="9" t="str">
        <f aca="false">"Unit "&amp;B75</f>
        <v>Unit 4</v>
      </c>
      <c r="D75" s="9"/>
      <c r="E75" s="9" t="n">
        <v>210</v>
      </c>
      <c r="F75" s="9" t="n">
        <v>0</v>
      </c>
      <c r="G75" s="9" t="n">
        <v>3.38</v>
      </c>
      <c r="H75" s="9" t="n">
        <v>0</v>
      </c>
      <c r="I75" s="9"/>
      <c r="J75" s="9"/>
      <c r="K75" s="9"/>
      <c r="L75" s="9" t="n">
        <f aca="false">E75*24/1000</f>
        <v>5.04</v>
      </c>
      <c r="M75" s="10" t="n">
        <f aca="false">G75/L75</f>
        <v>0.670634920634921</v>
      </c>
      <c r="N75" s="9" t="n">
        <f aca="false">G75-F75</f>
        <v>3.38</v>
      </c>
      <c r="O75" s="10" t="str">
        <f aca="false">IF(F75=0,"",G75/F75)</f>
        <v/>
      </c>
      <c r="P75" s="9" t="n">
        <f aca="false">IF(H75&gt;0,1,0)</f>
        <v>0</v>
      </c>
      <c r="Q75" s="9" t="n">
        <f aca="false">IF(G75=0,1,0)</f>
        <v>0</v>
      </c>
      <c r="R75" s="9" t="str">
        <f aca="false">TEXT(A75,"mmm")</f>
        <v>Jun</v>
      </c>
      <c r="S75" s="9" t="n">
        <f aca="false">WEEKNUM(A75,2)</f>
        <v>25</v>
      </c>
      <c r="T75" s="9" t="str">
        <f aca="false">IF(A75&lt;DATE(2026,6,30),"1-Pre-outage",IF(A75&lt;DATE(2026,7,5),"2-Transition","3-Outage-heavy"))</f>
        <v>1-Pre-outage</v>
      </c>
      <c r="U75" s="9" t="str">
        <f aca="false">IF(K75="","",IF(ISNUMBER(SEARCH("TURBINE",K75)),"Turbine",IF(ISNUMBER(SEARCH("GENERATOR",K75)),"Generator",IF(ISNUMBER(SEARCH("BOILER",K75)),"Boiler",IF(ISNUMBER(SEARCH("AIR PREHEATER",K75)),"Auxiliary",IF(ISNUMBER(SEARCH("ELECTRICAL",K75)),"Electrical","Other"))))))</f>
        <v/>
      </c>
      <c r="V75" s="9" t="n">
        <f aca="false">AVERAGEIFS(G:G,B:B,B75,H:H,0)</f>
        <v>3.53586206896552</v>
      </c>
      <c r="W75" s="9" t="n">
        <f aca="false">IF(P75=1,MAX(0,V75-G75),0)</f>
        <v>0</v>
      </c>
    </row>
    <row r="76" customFormat="false" ht="15" hidden="false" customHeight="false" outlineLevel="0" collapsed="false">
      <c r="A76" s="8" t="n">
        <v>46189</v>
      </c>
      <c r="B76" s="9" t="n">
        <v>5</v>
      </c>
      <c r="C76" s="9" t="str">
        <f aca="false">"Unit "&amp;B76</f>
        <v>Unit 5</v>
      </c>
      <c r="D76" s="9"/>
      <c r="E76" s="9" t="n">
        <v>210</v>
      </c>
      <c r="F76" s="9" t="n">
        <v>4</v>
      </c>
      <c r="G76" s="9" t="n">
        <v>4.03</v>
      </c>
      <c r="H76" s="9" t="n">
        <v>0</v>
      </c>
      <c r="I76" s="9"/>
      <c r="J76" s="9"/>
      <c r="K76" s="9"/>
      <c r="L76" s="9" t="n">
        <f aca="false">E76*24/1000</f>
        <v>5.04</v>
      </c>
      <c r="M76" s="10" t="n">
        <f aca="false">G76/L76</f>
        <v>0.799603174603175</v>
      </c>
      <c r="N76" s="9" t="n">
        <f aca="false">G76-F76</f>
        <v>0.0300000000000003</v>
      </c>
      <c r="O76" s="10" t="n">
        <f aca="false">IF(F76=0,"",G76/F76)</f>
        <v>1.0075</v>
      </c>
      <c r="P76" s="9" t="n">
        <f aca="false">IF(H76&gt;0,1,0)</f>
        <v>0</v>
      </c>
      <c r="Q76" s="9" t="n">
        <f aca="false">IF(G76=0,1,0)</f>
        <v>0</v>
      </c>
      <c r="R76" s="9" t="str">
        <f aca="false">TEXT(A76,"mmm")</f>
        <v>Jun</v>
      </c>
      <c r="S76" s="9" t="n">
        <f aca="false">WEEKNUM(A76,2)</f>
        <v>25</v>
      </c>
      <c r="T76" s="9" t="str">
        <f aca="false">IF(A76&lt;DATE(2026,6,30),"1-Pre-outage",IF(A76&lt;DATE(2026,7,5),"2-Transition","3-Outage-heavy"))</f>
        <v>1-Pre-outage</v>
      </c>
      <c r="U76" s="9" t="str">
        <f aca="false">IF(K76="","",IF(ISNUMBER(SEARCH("TURBINE",K76)),"Turbine",IF(ISNUMBER(SEARCH("GENERATOR",K76)),"Generator",IF(ISNUMBER(SEARCH("BOILER",K76)),"Boiler",IF(ISNUMBER(SEARCH("AIR PREHEATER",K76)),"Auxiliary",IF(ISNUMBER(SEARCH("ELECTRICAL",K76)),"Electrical","Other"))))))</f>
        <v/>
      </c>
      <c r="V76" s="9" t="n">
        <f aca="false">AVERAGEIFS(G:G,B:B,B76,H:H,0)</f>
        <v>3.98888888888889</v>
      </c>
      <c r="W76" s="9" t="n">
        <f aca="false">IF(P76=1,MAX(0,V76-G76),0)</f>
        <v>0</v>
      </c>
    </row>
    <row r="77" customFormat="false" ht="15" hidden="false" customHeight="false" outlineLevel="0" collapsed="false">
      <c r="A77" s="8" t="n">
        <v>46189</v>
      </c>
      <c r="B77" s="9" t="n">
        <v>6</v>
      </c>
      <c r="C77" s="9" t="str">
        <f aca="false">"Unit "&amp;B77</f>
        <v>Unit 6</v>
      </c>
      <c r="D77" s="9"/>
      <c r="E77" s="9" t="n">
        <v>195</v>
      </c>
      <c r="F77" s="9" t="n">
        <v>4.1</v>
      </c>
      <c r="G77" s="9" t="n">
        <v>3.85</v>
      </c>
      <c r="H77" s="9" t="n">
        <v>0</v>
      </c>
      <c r="I77" s="9"/>
      <c r="J77" s="9"/>
      <c r="K77" s="9"/>
      <c r="L77" s="9" t="n">
        <f aca="false">E77*24/1000</f>
        <v>4.68</v>
      </c>
      <c r="M77" s="10" t="n">
        <f aca="false">G77/L77</f>
        <v>0.822649572649573</v>
      </c>
      <c r="N77" s="9" t="n">
        <f aca="false">G77-F77</f>
        <v>-0.25</v>
      </c>
      <c r="O77" s="10" t="n">
        <f aca="false">IF(F77=0,"",G77/F77)</f>
        <v>0.939024390243903</v>
      </c>
      <c r="P77" s="9" t="n">
        <f aca="false">IF(H77&gt;0,1,0)</f>
        <v>0</v>
      </c>
      <c r="Q77" s="9" t="n">
        <f aca="false">IF(G77=0,1,0)</f>
        <v>0</v>
      </c>
      <c r="R77" s="9" t="str">
        <f aca="false">TEXT(A77,"mmm")</f>
        <v>Jun</v>
      </c>
      <c r="S77" s="9" t="n">
        <f aca="false">WEEKNUM(A77,2)</f>
        <v>25</v>
      </c>
      <c r="T77" s="9" t="str">
        <f aca="false">IF(A77&lt;DATE(2026,6,30),"1-Pre-outage",IF(A77&lt;DATE(2026,7,5),"2-Transition","3-Outage-heavy"))</f>
        <v>1-Pre-outage</v>
      </c>
      <c r="U77" s="9" t="str">
        <f aca="false">IF(K77="","",IF(ISNUMBER(SEARCH("TURBINE",K77)),"Turbine",IF(ISNUMBER(SEARCH("GENERATOR",K77)),"Generator",IF(ISNUMBER(SEARCH("BOILER",K77)),"Boiler",IF(ISNUMBER(SEARCH("AIR PREHEATER",K77)),"Auxiliary",IF(ISNUMBER(SEARCH("ELECTRICAL",K77)),"Electrical","Other"))))))</f>
        <v/>
      </c>
      <c r="V77" s="9" t="n">
        <f aca="false">AVERAGEIFS(G:G,B:B,B77,H:H,0)</f>
        <v>3.85377777777778</v>
      </c>
      <c r="W77" s="9" t="n">
        <f aca="false">IF(P77=1,MAX(0,V77-G77),0)</f>
        <v>0</v>
      </c>
    </row>
    <row r="78" customFormat="false" ht="15" hidden="false" customHeight="false" outlineLevel="0" collapsed="false">
      <c r="A78" s="8" t="n">
        <v>46189</v>
      </c>
      <c r="B78" s="9" t="n">
        <v>7</v>
      </c>
      <c r="C78" s="9" t="str">
        <f aca="false">"Unit "&amp;B78</f>
        <v>Unit 7</v>
      </c>
      <c r="D78" s="9"/>
      <c r="E78" s="9" t="n">
        <v>195</v>
      </c>
      <c r="F78" s="9" t="n">
        <v>4.1</v>
      </c>
      <c r="G78" s="9" t="n">
        <v>4.03</v>
      </c>
      <c r="H78" s="9" t="n">
        <v>0</v>
      </c>
      <c r="I78" s="9"/>
      <c r="J78" s="9"/>
      <c r="K78" s="9"/>
      <c r="L78" s="9" t="n">
        <f aca="false">E78*24/1000</f>
        <v>4.68</v>
      </c>
      <c r="M78" s="10" t="n">
        <f aca="false">G78/L78</f>
        <v>0.861111111111111</v>
      </c>
      <c r="N78" s="9" t="n">
        <f aca="false">G78-F78</f>
        <v>-0.0699999999999994</v>
      </c>
      <c r="O78" s="10" t="n">
        <f aca="false">IF(F78=0,"",G78/F78)</f>
        <v>0.982926829268293</v>
      </c>
      <c r="P78" s="9" t="n">
        <f aca="false">IF(H78&gt;0,1,0)</f>
        <v>0</v>
      </c>
      <c r="Q78" s="9" t="n">
        <f aca="false">IF(G78=0,1,0)</f>
        <v>0</v>
      </c>
      <c r="R78" s="9" t="str">
        <f aca="false">TEXT(A78,"mmm")</f>
        <v>Jun</v>
      </c>
      <c r="S78" s="9" t="n">
        <f aca="false">WEEKNUM(A78,2)</f>
        <v>25</v>
      </c>
      <c r="T78" s="9" t="str">
        <f aca="false">IF(A78&lt;DATE(2026,6,30),"1-Pre-outage",IF(A78&lt;DATE(2026,7,5),"2-Transition","3-Outage-heavy"))</f>
        <v>1-Pre-outage</v>
      </c>
      <c r="U78" s="9" t="str">
        <f aca="false">IF(K78="","",IF(ISNUMBER(SEARCH("TURBINE",K78)),"Turbine",IF(ISNUMBER(SEARCH("GENERATOR",K78)),"Generator",IF(ISNUMBER(SEARCH("BOILER",K78)),"Boiler",IF(ISNUMBER(SEARCH("AIR PREHEATER",K78)),"Auxiliary",IF(ISNUMBER(SEARCH("ELECTRICAL",K78)),"Electrical","Other"))))))</f>
        <v/>
      </c>
      <c r="V78" s="9" t="n">
        <f aca="false">AVERAGEIFS(G:G,B:B,B78,H:H,0)</f>
        <v>3.98375</v>
      </c>
      <c r="W78" s="9" t="n">
        <f aca="false">IF(P78=1,MAX(0,V78-G78),0)</f>
        <v>0</v>
      </c>
    </row>
    <row r="79" customFormat="false" ht="15" hidden="false" customHeight="false" outlineLevel="0" collapsed="false">
      <c r="A79" s="8" t="n">
        <v>46190</v>
      </c>
      <c r="B79" s="9" t="n">
        <v>1</v>
      </c>
      <c r="C79" s="9" t="str">
        <f aca="false">"Unit "&amp;B79</f>
        <v>Unit 1</v>
      </c>
      <c r="D79" s="9"/>
      <c r="E79" s="9" t="n">
        <v>110</v>
      </c>
      <c r="F79" s="9" t="n">
        <v>1.93</v>
      </c>
      <c r="G79" s="9" t="n">
        <v>1.6</v>
      </c>
      <c r="H79" s="9" t="n">
        <v>0</v>
      </c>
      <c r="I79" s="9"/>
      <c r="J79" s="9"/>
      <c r="K79" s="9"/>
      <c r="L79" s="9" t="n">
        <f aca="false">E79*24/1000</f>
        <v>2.64</v>
      </c>
      <c r="M79" s="10" t="n">
        <f aca="false">G79/L79</f>
        <v>0.606060606060606</v>
      </c>
      <c r="N79" s="9" t="n">
        <f aca="false">G79-F79</f>
        <v>-0.33</v>
      </c>
      <c r="O79" s="10" t="n">
        <f aca="false">IF(F79=0,"",G79/F79)</f>
        <v>0.829015544041451</v>
      </c>
      <c r="P79" s="9" t="n">
        <f aca="false">IF(H79&gt;0,1,0)</f>
        <v>0</v>
      </c>
      <c r="Q79" s="9" t="n">
        <f aca="false">IF(G79=0,1,0)</f>
        <v>0</v>
      </c>
      <c r="R79" s="9" t="str">
        <f aca="false">TEXT(A79,"mmm")</f>
        <v>Jun</v>
      </c>
      <c r="S79" s="9" t="n">
        <f aca="false">WEEKNUM(A79,2)</f>
        <v>25</v>
      </c>
      <c r="T79" s="9" t="str">
        <f aca="false">IF(A79&lt;DATE(2026,6,30),"1-Pre-outage",IF(A79&lt;DATE(2026,7,5),"2-Transition","3-Outage-heavy"))</f>
        <v>1-Pre-outage</v>
      </c>
      <c r="U79" s="9" t="str">
        <f aca="false">IF(K79="","",IF(ISNUMBER(SEARCH("TURBINE",K79)),"Turbine",IF(ISNUMBER(SEARCH("GENERATOR",K79)),"Generator",IF(ISNUMBER(SEARCH("BOILER",K79)),"Boiler",IF(ISNUMBER(SEARCH("AIR PREHEATER",K79)),"Auxiliary",IF(ISNUMBER(SEARCH("ELECTRICAL",K79)),"Electrical","Other"))))))</f>
        <v/>
      </c>
      <c r="V79" s="9" t="n">
        <f aca="false">AVERAGEIFS(G:G,B:B,B79,H:H,0)</f>
        <v>1.61181818181818</v>
      </c>
      <c r="W79" s="9" t="n">
        <f aca="false">IF(P79=1,MAX(0,V79-G79),0)</f>
        <v>0</v>
      </c>
    </row>
    <row r="80" customFormat="false" ht="15" hidden="false" customHeight="false" outlineLevel="0" collapsed="false">
      <c r="A80" s="8" t="n">
        <v>46190</v>
      </c>
      <c r="B80" s="9" t="n">
        <v>2</v>
      </c>
      <c r="C80" s="9" t="str">
        <f aca="false">"Unit "&amp;B80</f>
        <v>Unit 2</v>
      </c>
      <c r="D80" s="9"/>
      <c r="E80" s="9" t="n">
        <v>110</v>
      </c>
      <c r="F80" s="9" t="n">
        <v>1.93</v>
      </c>
      <c r="G80" s="9" t="n">
        <v>1.66</v>
      </c>
      <c r="H80" s="9" t="n">
        <v>0</v>
      </c>
      <c r="I80" s="9"/>
      <c r="J80" s="9"/>
      <c r="K80" s="9"/>
      <c r="L80" s="9" t="n">
        <f aca="false">E80*24/1000</f>
        <v>2.64</v>
      </c>
      <c r="M80" s="10" t="n">
        <f aca="false">G80/L80</f>
        <v>0.628787878787879</v>
      </c>
      <c r="N80" s="9" t="n">
        <f aca="false">G80-F80</f>
        <v>-0.27</v>
      </c>
      <c r="O80" s="10" t="n">
        <f aca="false">IF(F80=0,"",G80/F80)</f>
        <v>0.860103626943005</v>
      </c>
      <c r="P80" s="9" t="n">
        <f aca="false">IF(H80&gt;0,1,0)</f>
        <v>0</v>
      </c>
      <c r="Q80" s="9" t="n">
        <f aca="false">IF(G80=0,1,0)</f>
        <v>0</v>
      </c>
      <c r="R80" s="9" t="str">
        <f aca="false">TEXT(A80,"mmm")</f>
        <v>Jun</v>
      </c>
      <c r="S80" s="9" t="n">
        <f aca="false">WEEKNUM(A80,2)</f>
        <v>25</v>
      </c>
      <c r="T80" s="9" t="str">
        <f aca="false">IF(A80&lt;DATE(2026,6,30),"1-Pre-outage",IF(A80&lt;DATE(2026,7,5),"2-Transition","3-Outage-heavy"))</f>
        <v>1-Pre-outage</v>
      </c>
      <c r="U80" s="9" t="str">
        <f aca="false">IF(K80="","",IF(ISNUMBER(SEARCH("TURBINE",K80)),"Turbine",IF(ISNUMBER(SEARCH("GENERATOR",K80)),"Generator",IF(ISNUMBER(SEARCH("BOILER",K80)),"Boiler",IF(ISNUMBER(SEARCH("AIR PREHEATER",K80)),"Auxiliary",IF(ISNUMBER(SEARCH("ELECTRICAL",K80)),"Electrical","Other"))))))</f>
        <v/>
      </c>
      <c r="V80" s="9" t="n">
        <f aca="false">AVERAGEIFS(G:G,B:B,B80,H:H,0)</f>
        <v>1.67955555555556</v>
      </c>
      <c r="W80" s="9" t="n">
        <f aca="false">IF(P80=1,MAX(0,V80-G80),0)</f>
        <v>0</v>
      </c>
    </row>
    <row r="81" customFormat="false" ht="15" hidden="false" customHeight="false" outlineLevel="0" collapsed="false">
      <c r="A81" s="8" t="n">
        <v>46190</v>
      </c>
      <c r="B81" s="9" t="n">
        <v>3</v>
      </c>
      <c r="C81" s="9" t="str">
        <f aca="false">"Unit "&amp;B81</f>
        <v>Unit 3</v>
      </c>
      <c r="D81" s="9"/>
      <c r="E81" s="9" t="n">
        <v>210</v>
      </c>
      <c r="F81" s="9" t="n">
        <v>3.9</v>
      </c>
      <c r="G81" s="9" t="n">
        <v>3.72</v>
      </c>
      <c r="H81" s="9" t="n">
        <v>0</v>
      </c>
      <c r="I81" s="9"/>
      <c r="J81" s="9"/>
      <c r="K81" s="9"/>
      <c r="L81" s="9" t="n">
        <f aca="false">E81*24/1000</f>
        <v>5.04</v>
      </c>
      <c r="M81" s="10" t="n">
        <f aca="false">G81/L81</f>
        <v>0.738095238095238</v>
      </c>
      <c r="N81" s="9" t="n">
        <f aca="false">G81-F81</f>
        <v>-0.18</v>
      </c>
      <c r="O81" s="10" t="n">
        <f aca="false">IF(F81=0,"",G81/F81)</f>
        <v>0.953846153846154</v>
      </c>
      <c r="P81" s="9" t="n">
        <f aca="false">IF(H81&gt;0,1,0)</f>
        <v>0</v>
      </c>
      <c r="Q81" s="9" t="n">
        <f aca="false">IF(G81=0,1,0)</f>
        <v>0</v>
      </c>
      <c r="R81" s="9" t="str">
        <f aca="false">TEXT(A81,"mmm")</f>
        <v>Jun</v>
      </c>
      <c r="S81" s="9" t="n">
        <f aca="false">WEEKNUM(A81,2)</f>
        <v>25</v>
      </c>
      <c r="T81" s="9" t="str">
        <f aca="false">IF(A81&lt;DATE(2026,6,30),"1-Pre-outage",IF(A81&lt;DATE(2026,7,5),"2-Transition","3-Outage-heavy"))</f>
        <v>1-Pre-outage</v>
      </c>
      <c r="U81" s="9" t="str">
        <f aca="false">IF(K81="","",IF(ISNUMBER(SEARCH("TURBINE",K81)),"Turbine",IF(ISNUMBER(SEARCH("GENERATOR",K81)),"Generator",IF(ISNUMBER(SEARCH("BOILER",K81)),"Boiler",IF(ISNUMBER(SEARCH("AIR PREHEATER",K81)),"Auxiliary",IF(ISNUMBER(SEARCH("ELECTRICAL",K81)),"Electrical","Other"))))))</f>
        <v/>
      </c>
      <c r="V81" s="9" t="n">
        <f aca="false">AVERAGEIFS(G:G,B:B,B81,H:H,0)</f>
        <v>3.72697674418605</v>
      </c>
      <c r="W81" s="9" t="n">
        <f aca="false">IF(P81=1,MAX(0,V81-G81),0)</f>
        <v>0</v>
      </c>
    </row>
    <row r="82" customFormat="false" ht="15" hidden="false" customHeight="false" outlineLevel="0" collapsed="false">
      <c r="A82" s="8" t="n">
        <v>46190</v>
      </c>
      <c r="B82" s="9" t="n">
        <v>4</v>
      </c>
      <c r="C82" s="9" t="str">
        <f aca="false">"Unit "&amp;B82</f>
        <v>Unit 4</v>
      </c>
      <c r="D82" s="9"/>
      <c r="E82" s="9" t="n">
        <v>210</v>
      </c>
      <c r="F82" s="9" t="n">
        <v>0</v>
      </c>
      <c r="G82" s="9" t="n">
        <v>3.52</v>
      </c>
      <c r="H82" s="9" t="n">
        <v>0</v>
      </c>
      <c r="I82" s="9"/>
      <c r="J82" s="9"/>
      <c r="K82" s="9"/>
      <c r="L82" s="9" t="n">
        <f aca="false">E82*24/1000</f>
        <v>5.04</v>
      </c>
      <c r="M82" s="10" t="n">
        <f aca="false">G82/L82</f>
        <v>0.698412698412698</v>
      </c>
      <c r="N82" s="9" t="n">
        <f aca="false">G82-F82</f>
        <v>3.52</v>
      </c>
      <c r="O82" s="10" t="str">
        <f aca="false">IF(F82=0,"",G82/F82)</f>
        <v/>
      </c>
      <c r="P82" s="9" t="n">
        <f aca="false">IF(H82&gt;0,1,0)</f>
        <v>0</v>
      </c>
      <c r="Q82" s="9" t="n">
        <f aca="false">IF(G82=0,1,0)</f>
        <v>0</v>
      </c>
      <c r="R82" s="9" t="str">
        <f aca="false">TEXT(A82,"mmm")</f>
        <v>Jun</v>
      </c>
      <c r="S82" s="9" t="n">
        <f aca="false">WEEKNUM(A82,2)</f>
        <v>25</v>
      </c>
      <c r="T82" s="9" t="str">
        <f aca="false">IF(A82&lt;DATE(2026,6,30),"1-Pre-outage",IF(A82&lt;DATE(2026,7,5),"2-Transition","3-Outage-heavy"))</f>
        <v>1-Pre-outage</v>
      </c>
      <c r="U82" s="9" t="str">
        <f aca="false">IF(K82="","",IF(ISNUMBER(SEARCH("TURBINE",K82)),"Turbine",IF(ISNUMBER(SEARCH("GENERATOR",K82)),"Generator",IF(ISNUMBER(SEARCH("BOILER",K82)),"Boiler",IF(ISNUMBER(SEARCH("AIR PREHEATER",K82)),"Auxiliary",IF(ISNUMBER(SEARCH("ELECTRICAL",K82)),"Electrical","Other"))))))</f>
        <v/>
      </c>
      <c r="V82" s="9" t="n">
        <f aca="false">AVERAGEIFS(G:G,B:B,B82,H:H,0)</f>
        <v>3.53586206896552</v>
      </c>
      <c r="W82" s="9" t="n">
        <f aca="false">IF(P82=1,MAX(0,V82-G82),0)</f>
        <v>0</v>
      </c>
    </row>
    <row r="83" customFormat="false" ht="15" hidden="false" customHeight="false" outlineLevel="0" collapsed="false">
      <c r="A83" s="8" t="n">
        <v>46190</v>
      </c>
      <c r="B83" s="9" t="n">
        <v>5</v>
      </c>
      <c r="C83" s="9" t="str">
        <f aca="false">"Unit "&amp;B83</f>
        <v>Unit 5</v>
      </c>
      <c r="D83" s="9"/>
      <c r="E83" s="9" t="n">
        <v>210</v>
      </c>
      <c r="F83" s="9" t="n">
        <v>4</v>
      </c>
      <c r="G83" s="9" t="n">
        <v>4.04</v>
      </c>
      <c r="H83" s="9" t="n">
        <v>0</v>
      </c>
      <c r="I83" s="9"/>
      <c r="J83" s="9"/>
      <c r="K83" s="9"/>
      <c r="L83" s="9" t="n">
        <f aca="false">E83*24/1000</f>
        <v>5.04</v>
      </c>
      <c r="M83" s="10" t="n">
        <f aca="false">G83/L83</f>
        <v>0.801587301587302</v>
      </c>
      <c r="N83" s="9" t="n">
        <f aca="false">G83-F83</f>
        <v>0.04</v>
      </c>
      <c r="O83" s="10" t="n">
        <f aca="false">IF(F83=0,"",G83/F83)</f>
        <v>1.01</v>
      </c>
      <c r="P83" s="9" t="n">
        <f aca="false">IF(H83&gt;0,1,0)</f>
        <v>0</v>
      </c>
      <c r="Q83" s="9" t="n">
        <f aca="false">IF(G83=0,1,0)</f>
        <v>0</v>
      </c>
      <c r="R83" s="9" t="str">
        <f aca="false">TEXT(A83,"mmm")</f>
        <v>Jun</v>
      </c>
      <c r="S83" s="9" t="n">
        <f aca="false">WEEKNUM(A83,2)</f>
        <v>25</v>
      </c>
      <c r="T83" s="9" t="str">
        <f aca="false">IF(A83&lt;DATE(2026,6,30),"1-Pre-outage",IF(A83&lt;DATE(2026,7,5),"2-Transition","3-Outage-heavy"))</f>
        <v>1-Pre-outage</v>
      </c>
      <c r="U83" s="9" t="str">
        <f aca="false">IF(K83="","",IF(ISNUMBER(SEARCH("TURBINE",K83)),"Turbine",IF(ISNUMBER(SEARCH("GENERATOR",K83)),"Generator",IF(ISNUMBER(SEARCH("BOILER",K83)),"Boiler",IF(ISNUMBER(SEARCH("AIR PREHEATER",K83)),"Auxiliary",IF(ISNUMBER(SEARCH("ELECTRICAL",K83)),"Electrical","Other"))))))</f>
        <v/>
      </c>
      <c r="V83" s="9" t="n">
        <f aca="false">AVERAGEIFS(G:G,B:B,B83,H:H,0)</f>
        <v>3.98888888888889</v>
      </c>
      <c r="W83" s="9" t="n">
        <f aca="false">IF(P83=1,MAX(0,V83-G83),0)</f>
        <v>0</v>
      </c>
    </row>
    <row r="84" customFormat="false" ht="15" hidden="false" customHeight="false" outlineLevel="0" collapsed="false">
      <c r="A84" s="8" t="n">
        <v>46190</v>
      </c>
      <c r="B84" s="9" t="n">
        <v>6</v>
      </c>
      <c r="C84" s="9" t="str">
        <f aca="false">"Unit "&amp;B84</f>
        <v>Unit 6</v>
      </c>
      <c r="D84" s="9"/>
      <c r="E84" s="9" t="n">
        <v>195</v>
      </c>
      <c r="F84" s="9" t="n">
        <v>4.1</v>
      </c>
      <c r="G84" s="9" t="n">
        <v>3.85</v>
      </c>
      <c r="H84" s="9" t="n">
        <v>0</v>
      </c>
      <c r="I84" s="9"/>
      <c r="J84" s="9"/>
      <c r="K84" s="9"/>
      <c r="L84" s="9" t="n">
        <f aca="false">E84*24/1000</f>
        <v>4.68</v>
      </c>
      <c r="M84" s="10" t="n">
        <f aca="false">G84/L84</f>
        <v>0.822649572649573</v>
      </c>
      <c r="N84" s="9" t="n">
        <f aca="false">G84-F84</f>
        <v>-0.25</v>
      </c>
      <c r="O84" s="10" t="n">
        <f aca="false">IF(F84=0,"",G84/F84)</f>
        <v>0.939024390243903</v>
      </c>
      <c r="P84" s="9" t="n">
        <f aca="false">IF(H84&gt;0,1,0)</f>
        <v>0</v>
      </c>
      <c r="Q84" s="9" t="n">
        <f aca="false">IF(G84=0,1,0)</f>
        <v>0</v>
      </c>
      <c r="R84" s="9" t="str">
        <f aca="false">TEXT(A84,"mmm")</f>
        <v>Jun</v>
      </c>
      <c r="S84" s="9" t="n">
        <f aca="false">WEEKNUM(A84,2)</f>
        <v>25</v>
      </c>
      <c r="T84" s="9" t="str">
        <f aca="false">IF(A84&lt;DATE(2026,6,30),"1-Pre-outage",IF(A84&lt;DATE(2026,7,5),"2-Transition","3-Outage-heavy"))</f>
        <v>1-Pre-outage</v>
      </c>
      <c r="U84" s="9" t="str">
        <f aca="false">IF(K84="","",IF(ISNUMBER(SEARCH("TURBINE",K84)),"Turbine",IF(ISNUMBER(SEARCH("GENERATOR",K84)),"Generator",IF(ISNUMBER(SEARCH("BOILER",K84)),"Boiler",IF(ISNUMBER(SEARCH("AIR PREHEATER",K84)),"Auxiliary",IF(ISNUMBER(SEARCH("ELECTRICAL",K84)),"Electrical","Other"))))))</f>
        <v/>
      </c>
      <c r="V84" s="9" t="n">
        <f aca="false">AVERAGEIFS(G:G,B:B,B84,H:H,0)</f>
        <v>3.85377777777778</v>
      </c>
      <c r="W84" s="9" t="n">
        <f aca="false">IF(P84=1,MAX(0,V84-G84),0)</f>
        <v>0</v>
      </c>
    </row>
    <row r="85" customFormat="false" ht="15" hidden="false" customHeight="false" outlineLevel="0" collapsed="false">
      <c r="A85" s="8" t="n">
        <v>46190</v>
      </c>
      <c r="B85" s="9" t="n">
        <v>7</v>
      </c>
      <c r="C85" s="9" t="str">
        <f aca="false">"Unit "&amp;B85</f>
        <v>Unit 7</v>
      </c>
      <c r="D85" s="9"/>
      <c r="E85" s="9" t="n">
        <v>195</v>
      </c>
      <c r="F85" s="9" t="n">
        <v>4.1</v>
      </c>
      <c r="G85" s="9" t="n">
        <v>3.96</v>
      </c>
      <c r="H85" s="9" t="n">
        <v>0</v>
      </c>
      <c r="I85" s="9"/>
      <c r="J85" s="9"/>
      <c r="K85" s="9"/>
      <c r="L85" s="9" t="n">
        <f aca="false">E85*24/1000</f>
        <v>4.68</v>
      </c>
      <c r="M85" s="10" t="n">
        <f aca="false">G85/L85</f>
        <v>0.846153846153846</v>
      </c>
      <c r="N85" s="9" t="n">
        <f aca="false">G85-F85</f>
        <v>-0.14</v>
      </c>
      <c r="O85" s="10" t="n">
        <f aca="false">IF(F85=0,"",G85/F85)</f>
        <v>0.965853658536585</v>
      </c>
      <c r="P85" s="9" t="n">
        <f aca="false">IF(H85&gt;0,1,0)</f>
        <v>0</v>
      </c>
      <c r="Q85" s="9" t="n">
        <f aca="false">IF(G85=0,1,0)</f>
        <v>0</v>
      </c>
      <c r="R85" s="9" t="str">
        <f aca="false">TEXT(A85,"mmm")</f>
        <v>Jun</v>
      </c>
      <c r="S85" s="9" t="n">
        <f aca="false">WEEKNUM(A85,2)</f>
        <v>25</v>
      </c>
      <c r="T85" s="9" t="str">
        <f aca="false">IF(A85&lt;DATE(2026,6,30),"1-Pre-outage",IF(A85&lt;DATE(2026,7,5),"2-Transition","3-Outage-heavy"))</f>
        <v>1-Pre-outage</v>
      </c>
      <c r="U85" s="9" t="str">
        <f aca="false">IF(K85="","",IF(ISNUMBER(SEARCH("TURBINE",K85)),"Turbine",IF(ISNUMBER(SEARCH("GENERATOR",K85)),"Generator",IF(ISNUMBER(SEARCH("BOILER",K85)),"Boiler",IF(ISNUMBER(SEARCH("AIR PREHEATER",K85)),"Auxiliary",IF(ISNUMBER(SEARCH("ELECTRICAL",K85)),"Electrical","Other"))))))</f>
        <v/>
      </c>
      <c r="V85" s="9" t="n">
        <f aca="false">AVERAGEIFS(G:G,B:B,B85,H:H,0)</f>
        <v>3.98375</v>
      </c>
      <c r="W85" s="9" t="n">
        <f aca="false">IF(P85=1,MAX(0,V85-G85),0)</f>
        <v>0</v>
      </c>
    </row>
    <row r="86" customFormat="false" ht="15" hidden="false" customHeight="false" outlineLevel="0" collapsed="false">
      <c r="A86" s="8" t="n">
        <v>46191</v>
      </c>
      <c r="B86" s="9" t="n">
        <v>1</v>
      </c>
      <c r="C86" s="9" t="str">
        <f aca="false">"Unit "&amp;B86</f>
        <v>Unit 1</v>
      </c>
      <c r="D86" s="9"/>
      <c r="E86" s="9" t="n">
        <v>110</v>
      </c>
      <c r="F86" s="9" t="n">
        <v>1.93</v>
      </c>
      <c r="G86" s="9" t="n">
        <v>1.61</v>
      </c>
      <c r="H86" s="9" t="n">
        <v>0</v>
      </c>
      <c r="I86" s="9"/>
      <c r="J86" s="9"/>
      <c r="K86" s="9"/>
      <c r="L86" s="9" t="n">
        <f aca="false">E86*24/1000</f>
        <v>2.64</v>
      </c>
      <c r="M86" s="10" t="n">
        <f aca="false">G86/L86</f>
        <v>0.609848484848485</v>
      </c>
      <c r="N86" s="9" t="n">
        <f aca="false">G86-F86</f>
        <v>-0.32</v>
      </c>
      <c r="O86" s="10" t="n">
        <f aca="false">IF(F86=0,"",G86/F86)</f>
        <v>0.83419689119171</v>
      </c>
      <c r="P86" s="9" t="n">
        <f aca="false">IF(H86&gt;0,1,0)</f>
        <v>0</v>
      </c>
      <c r="Q86" s="9" t="n">
        <f aca="false">IF(G86=0,1,0)</f>
        <v>0</v>
      </c>
      <c r="R86" s="9" t="str">
        <f aca="false">TEXT(A86,"mmm")</f>
        <v>Jun</v>
      </c>
      <c r="S86" s="9" t="n">
        <f aca="false">WEEKNUM(A86,2)</f>
        <v>25</v>
      </c>
      <c r="T86" s="9" t="str">
        <f aca="false">IF(A86&lt;DATE(2026,6,30),"1-Pre-outage",IF(A86&lt;DATE(2026,7,5),"2-Transition","3-Outage-heavy"))</f>
        <v>1-Pre-outage</v>
      </c>
      <c r="U86" s="9" t="str">
        <f aca="false">IF(K86="","",IF(ISNUMBER(SEARCH("TURBINE",K86)),"Turbine",IF(ISNUMBER(SEARCH("GENERATOR",K86)),"Generator",IF(ISNUMBER(SEARCH("BOILER",K86)),"Boiler",IF(ISNUMBER(SEARCH("AIR PREHEATER",K86)),"Auxiliary",IF(ISNUMBER(SEARCH("ELECTRICAL",K86)),"Electrical","Other"))))))</f>
        <v/>
      </c>
      <c r="V86" s="9" t="n">
        <f aca="false">AVERAGEIFS(G:G,B:B,B86,H:H,0)</f>
        <v>1.61181818181818</v>
      </c>
      <c r="W86" s="9" t="n">
        <f aca="false">IF(P86=1,MAX(0,V86-G86),0)</f>
        <v>0</v>
      </c>
    </row>
    <row r="87" customFormat="false" ht="15" hidden="false" customHeight="false" outlineLevel="0" collapsed="false">
      <c r="A87" s="8" t="n">
        <v>46191</v>
      </c>
      <c r="B87" s="9" t="n">
        <v>2</v>
      </c>
      <c r="C87" s="9" t="str">
        <f aca="false">"Unit "&amp;B87</f>
        <v>Unit 2</v>
      </c>
      <c r="D87" s="9"/>
      <c r="E87" s="9" t="n">
        <v>110</v>
      </c>
      <c r="F87" s="9" t="n">
        <v>1.93</v>
      </c>
      <c r="G87" s="9" t="n">
        <v>1.77</v>
      </c>
      <c r="H87" s="9" t="n">
        <v>0</v>
      </c>
      <c r="I87" s="9"/>
      <c r="J87" s="9"/>
      <c r="K87" s="9"/>
      <c r="L87" s="9" t="n">
        <f aca="false">E87*24/1000</f>
        <v>2.64</v>
      </c>
      <c r="M87" s="10" t="n">
        <f aca="false">G87/L87</f>
        <v>0.670454545454545</v>
      </c>
      <c r="N87" s="9" t="n">
        <f aca="false">G87-F87</f>
        <v>-0.16</v>
      </c>
      <c r="O87" s="10" t="n">
        <f aca="false">IF(F87=0,"",G87/F87)</f>
        <v>0.917098445595855</v>
      </c>
      <c r="P87" s="9" t="n">
        <f aca="false">IF(H87&gt;0,1,0)</f>
        <v>0</v>
      </c>
      <c r="Q87" s="9" t="n">
        <f aca="false">IF(G87=0,1,0)</f>
        <v>0</v>
      </c>
      <c r="R87" s="9" t="str">
        <f aca="false">TEXT(A87,"mmm")</f>
        <v>Jun</v>
      </c>
      <c r="S87" s="9" t="n">
        <f aca="false">WEEKNUM(A87,2)</f>
        <v>25</v>
      </c>
      <c r="T87" s="9" t="str">
        <f aca="false">IF(A87&lt;DATE(2026,6,30),"1-Pre-outage",IF(A87&lt;DATE(2026,7,5),"2-Transition","3-Outage-heavy"))</f>
        <v>1-Pre-outage</v>
      </c>
      <c r="U87" s="9" t="str">
        <f aca="false">IF(K87="","",IF(ISNUMBER(SEARCH("TURBINE",K87)),"Turbine",IF(ISNUMBER(SEARCH("GENERATOR",K87)),"Generator",IF(ISNUMBER(SEARCH("BOILER",K87)),"Boiler",IF(ISNUMBER(SEARCH("AIR PREHEATER",K87)),"Auxiliary",IF(ISNUMBER(SEARCH("ELECTRICAL",K87)),"Electrical","Other"))))))</f>
        <v/>
      </c>
      <c r="V87" s="9" t="n">
        <f aca="false">AVERAGEIFS(G:G,B:B,B87,H:H,0)</f>
        <v>1.67955555555556</v>
      </c>
      <c r="W87" s="9" t="n">
        <f aca="false">IF(P87=1,MAX(0,V87-G87),0)</f>
        <v>0</v>
      </c>
    </row>
    <row r="88" customFormat="false" ht="15" hidden="false" customHeight="false" outlineLevel="0" collapsed="false">
      <c r="A88" s="8" t="n">
        <v>46191</v>
      </c>
      <c r="B88" s="9" t="n">
        <v>3</v>
      </c>
      <c r="C88" s="9" t="str">
        <f aca="false">"Unit "&amp;B88</f>
        <v>Unit 3</v>
      </c>
      <c r="D88" s="9"/>
      <c r="E88" s="9" t="n">
        <v>210</v>
      </c>
      <c r="F88" s="9" t="n">
        <v>3.9</v>
      </c>
      <c r="G88" s="9" t="n">
        <v>3.89</v>
      </c>
      <c r="H88" s="9" t="n">
        <v>0</v>
      </c>
      <c r="I88" s="9"/>
      <c r="J88" s="9"/>
      <c r="K88" s="9"/>
      <c r="L88" s="9" t="n">
        <f aca="false">E88*24/1000</f>
        <v>5.04</v>
      </c>
      <c r="M88" s="10" t="n">
        <f aca="false">G88/L88</f>
        <v>0.771825396825397</v>
      </c>
      <c r="N88" s="9" t="n">
        <f aca="false">G88-F88</f>
        <v>-0.00999999999999979</v>
      </c>
      <c r="O88" s="10" t="n">
        <f aca="false">IF(F88=0,"",G88/F88)</f>
        <v>0.997435897435897</v>
      </c>
      <c r="P88" s="9" t="n">
        <f aca="false">IF(H88&gt;0,1,0)</f>
        <v>0</v>
      </c>
      <c r="Q88" s="9" t="n">
        <f aca="false">IF(G88=0,1,0)</f>
        <v>0</v>
      </c>
      <c r="R88" s="9" t="str">
        <f aca="false">TEXT(A88,"mmm")</f>
        <v>Jun</v>
      </c>
      <c r="S88" s="9" t="n">
        <f aca="false">WEEKNUM(A88,2)</f>
        <v>25</v>
      </c>
      <c r="T88" s="9" t="str">
        <f aca="false">IF(A88&lt;DATE(2026,6,30),"1-Pre-outage",IF(A88&lt;DATE(2026,7,5),"2-Transition","3-Outage-heavy"))</f>
        <v>1-Pre-outage</v>
      </c>
      <c r="U88" s="9" t="str">
        <f aca="false">IF(K88="","",IF(ISNUMBER(SEARCH("TURBINE",K88)),"Turbine",IF(ISNUMBER(SEARCH("GENERATOR",K88)),"Generator",IF(ISNUMBER(SEARCH("BOILER",K88)),"Boiler",IF(ISNUMBER(SEARCH("AIR PREHEATER",K88)),"Auxiliary",IF(ISNUMBER(SEARCH("ELECTRICAL",K88)),"Electrical","Other"))))))</f>
        <v/>
      </c>
      <c r="V88" s="9" t="n">
        <f aca="false">AVERAGEIFS(G:G,B:B,B88,H:H,0)</f>
        <v>3.72697674418605</v>
      </c>
      <c r="W88" s="9" t="n">
        <f aca="false">IF(P88=1,MAX(0,V88-G88),0)</f>
        <v>0</v>
      </c>
    </row>
    <row r="89" customFormat="false" ht="15" hidden="false" customHeight="false" outlineLevel="0" collapsed="false">
      <c r="A89" s="8" t="n">
        <v>46191</v>
      </c>
      <c r="B89" s="9" t="n">
        <v>4</v>
      </c>
      <c r="C89" s="9" t="str">
        <f aca="false">"Unit "&amp;B89</f>
        <v>Unit 4</v>
      </c>
      <c r="D89" s="9"/>
      <c r="E89" s="9" t="n">
        <v>210</v>
      </c>
      <c r="F89" s="9" t="n">
        <v>0</v>
      </c>
      <c r="G89" s="9" t="n">
        <v>3.62</v>
      </c>
      <c r="H89" s="9" t="n">
        <v>0</v>
      </c>
      <c r="I89" s="9"/>
      <c r="J89" s="9"/>
      <c r="K89" s="9"/>
      <c r="L89" s="9" t="n">
        <f aca="false">E89*24/1000</f>
        <v>5.04</v>
      </c>
      <c r="M89" s="10" t="n">
        <f aca="false">G89/L89</f>
        <v>0.718253968253968</v>
      </c>
      <c r="N89" s="9" t="n">
        <f aca="false">G89-F89</f>
        <v>3.62</v>
      </c>
      <c r="O89" s="10" t="str">
        <f aca="false">IF(F89=0,"",G89/F89)</f>
        <v/>
      </c>
      <c r="P89" s="9" t="n">
        <f aca="false">IF(H89&gt;0,1,0)</f>
        <v>0</v>
      </c>
      <c r="Q89" s="9" t="n">
        <f aca="false">IF(G89=0,1,0)</f>
        <v>0</v>
      </c>
      <c r="R89" s="9" t="str">
        <f aca="false">TEXT(A89,"mmm")</f>
        <v>Jun</v>
      </c>
      <c r="S89" s="9" t="n">
        <f aca="false">WEEKNUM(A89,2)</f>
        <v>25</v>
      </c>
      <c r="T89" s="9" t="str">
        <f aca="false">IF(A89&lt;DATE(2026,6,30),"1-Pre-outage",IF(A89&lt;DATE(2026,7,5),"2-Transition","3-Outage-heavy"))</f>
        <v>1-Pre-outage</v>
      </c>
      <c r="U89" s="9" t="str">
        <f aca="false">IF(K89="","",IF(ISNUMBER(SEARCH("TURBINE",K89)),"Turbine",IF(ISNUMBER(SEARCH("GENERATOR",K89)),"Generator",IF(ISNUMBER(SEARCH("BOILER",K89)),"Boiler",IF(ISNUMBER(SEARCH("AIR PREHEATER",K89)),"Auxiliary",IF(ISNUMBER(SEARCH("ELECTRICAL",K89)),"Electrical","Other"))))))</f>
        <v/>
      </c>
      <c r="V89" s="9" t="n">
        <f aca="false">AVERAGEIFS(G:G,B:B,B89,H:H,0)</f>
        <v>3.53586206896552</v>
      </c>
      <c r="W89" s="9" t="n">
        <f aca="false">IF(P89=1,MAX(0,V89-G89),0)</f>
        <v>0</v>
      </c>
    </row>
    <row r="90" customFormat="false" ht="15" hidden="false" customHeight="false" outlineLevel="0" collapsed="false">
      <c r="A90" s="8" t="n">
        <v>46191</v>
      </c>
      <c r="B90" s="9" t="n">
        <v>5</v>
      </c>
      <c r="C90" s="9" t="str">
        <f aca="false">"Unit "&amp;B90</f>
        <v>Unit 5</v>
      </c>
      <c r="D90" s="9"/>
      <c r="E90" s="9" t="n">
        <v>210</v>
      </c>
      <c r="F90" s="9" t="n">
        <v>4</v>
      </c>
      <c r="G90" s="9" t="n">
        <v>4.18</v>
      </c>
      <c r="H90" s="9" t="n">
        <v>0</v>
      </c>
      <c r="I90" s="9"/>
      <c r="J90" s="9"/>
      <c r="K90" s="9"/>
      <c r="L90" s="9" t="n">
        <f aca="false">E90*24/1000</f>
        <v>5.04</v>
      </c>
      <c r="M90" s="10" t="n">
        <f aca="false">G90/L90</f>
        <v>0.829365079365079</v>
      </c>
      <c r="N90" s="9" t="n">
        <f aca="false">G90-F90</f>
        <v>0.18</v>
      </c>
      <c r="O90" s="10" t="n">
        <f aca="false">IF(F90=0,"",G90/F90)</f>
        <v>1.045</v>
      </c>
      <c r="P90" s="9" t="n">
        <f aca="false">IF(H90&gt;0,1,0)</f>
        <v>0</v>
      </c>
      <c r="Q90" s="9" t="n">
        <f aca="false">IF(G90=0,1,0)</f>
        <v>0</v>
      </c>
      <c r="R90" s="9" t="str">
        <f aca="false">TEXT(A90,"mmm")</f>
        <v>Jun</v>
      </c>
      <c r="S90" s="9" t="n">
        <f aca="false">WEEKNUM(A90,2)</f>
        <v>25</v>
      </c>
      <c r="T90" s="9" t="str">
        <f aca="false">IF(A90&lt;DATE(2026,6,30),"1-Pre-outage",IF(A90&lt;DATE(2026,7,5),"2-Transition","3-Outage-heavy"))</f>
        <v>1-Pre-outage</v>
      </c>
      <c r="U90" s="9" t="str">
        <f aca="false">IF(K90="","",IF(ISNUMBER(SEARCH("TURBINE",K90)),"Turbine",IF(ISNUMBER(SEARCH("GENERATOR",K90)),"Generator",IF(ISNUMBER(SEARCH("BOILER",K90)),"Boiler",IF(ISNUMBER(SEARCH("AIR PREHEATER",K90)),"Auxiliary",IF(ISNUMBER(SEARCH("ELECTRICAL",K90)),"Electrical","Other"))))))</f>
        <v/>
      </c>
      <c r="V90" s="9" t="n">
        <f aca="false">AVERAGEIFS(G:G,B:B,B90,H:H,0)</f>
        <v>3.98888888888889</v>
      </c>
      <c r="W90" s="9" t="n">
        <f aca="false">IF(P90=1,MAX(0,V90-G90),0)</f>
        <v>0</v>
      </c>
    </row>
    <row r="91" customFormat="false" ht="15" hidden="false" customHeight="false" outlineLevel="0" collapsed="false">
      <c r="A91" s="8" t="n">
        <v>46191</v>
      </c>
      <c r="B91" s="9" t="n">
        <v>6</v>
      </c>
      <c r="C91" s="9" t="str">
        <f aca="false">"Unit "&amp;B91</f>
        <v>Unit 6</v>
      </c>
      <c r="D91" s="9"/>
      <c r="E91" s="9" t="n">
        <v>195</v>
      </c>
      <c r="F91" s="9" t="n">
        <v>4.1</v>
      </c>
      <c r="G91" s="9" t="n">
        <v>3.84</v>
      </c>
      <c r="H91" s="9" t="n">
        <v>0</v>
      </c>
      <c r="I91" s="9"/>
      <c r="J91" s="9"/>
      <c r="K91" s="9"/>
      <c r="L91" s="9" t="n">
        <f aca="false">E91*24/1000</f>
        <v>4.68</v>
      </c>
      <c r="M91" s="10" t="n">
        <f aca="false">G91/L91</f>
        <v>0.820512820512821</v>
      </c>
      <c r="N91" s="9" t="n">
        <f aca="false">G91-F91</f>
        <v>-0.26</v>
      </c>
      <c r="O91" s="10" t="n">
        <f aca="false">IF(F91=0,"",G91/F91)</f>
        <v>0.936585365853659</v>
      </c>
      <c r="P91" s="9" t="n">
        <f aca="false">IF(H91&gt;0,1,0)</f>
        <v>0</v>
      </c>
      <c r="Q91" s="9" t="n">
        <f aca="false">IF(G91=0,1,0)</f>
        <v>0</v>
      </c>
      <c r="R91" s="9" t="str">
        <f aca="false">TEXT(A91,"mmm")</f>
        <v>Jun</v>
      </c>
      <c r="S91" s="9" t="n">
        <f aca="false">WEEKNUM(A91,2)</f>
        <v>25</v>
      </c>
      <c r="T91" s="9" t="str">
        <f aca="false">IF(A91&lt;DATE(2026,6,30),"1-Pre-outage",IF(A91&lt;DATE(2026,7,5),"2-Transition","3-Outage-heavy"))</f>
        <v>1-Pre-outage</v>
      </c>
      <c r="U91" s="9" t="str">
        <f aca="false">IF(K91="","",IF(ISNUMBER(SEARCH("TURBINE",K91)),"Turbine",IF(ISNUMBER(SEARCH("GENERATOR",K91)),"Generator",IF(ISNUMBER(SEARCH("BOILER",K91)),"Boiler",IF(ISNUMBER(SEARCH("AIR PREHEATER",K91)),"Auxiliary",IF(ISNUMBER(SEARCH("ELECTRICAL",K91)),"Electrical","Other"))))))</f>
        <v/>
      </c>
      <c r="V91" s="9" t="n">
        <f aca="false">AVERAGEIFS(G:G,B:B,B91,H:H,0)</f>
        <v>3.85377777777778</v>
      </c>
      <c r="W91" s="9" t="n">
        <f aca="false">IF(P91=1,MAX(0,V91-G91),0)</f>
        <v>0</v>
      </c>
    </row>
    <row r="92" customFormat="false" ht="15" hidden="false" customHeight="false" outlineLevel="0" collapsed="false">
      <c r="A92" s="8" t="n">
        <v>46191</v>
      </c>
      <c r="B92" s="9" t="n">
        <v>7</v>
      </c>
      <c r="C92" s="9" t="str">
        <f aca="false">"Unit "&amp;B92</f>
        <v>Unit 7</v>
      </c>
      <c r="D92" s="9"/>
      <c r="E92" s="9" t="n">
        <v>195</v>
      </c>
      <c r="F92" s="9" t="n">
        <v>4.1</v>
      </c>
      <c r="G92" s="9" t="n">
        <v>4.19</v>
      </c>
      <c r="H92" s="9" t="n">
        <v>0</v>
      </c>
      <c r="I92" s="9"/>
      <c r="J92" s="9"/>
      <c r="K92" s="9"/>
      <c r="L92" s="9" t="n">
        <f aca="false">E92*24/1000</f>
        <v>4.68</v>
      </c>
      <c r="M92" s="10" t="n">
        <f aca="false">G92/L92</f>
        <v>0.895299145299145</v>
      </c>
      <c r="N92" s="9" t="n">
        <f aca="false">G92-F92</f>
        <v>0.0900000000000008</v>
      </c>
      <c r="O92" s="10" t="n">
        <f aca="false">IF(F92=0,"",G92/F92)</f>
        <v>1.0219512195122</v>
      </c>
      <c r="P92" s="9" t="n">
        <f aca="false">IF(H92&gt;0,1,0)</f>
        <v>0</v>
      </c>
      <c r="Q92" s="9" t="n">
        <f aca="false">IF(G92=0,1,0)</f>
        <v>0</v>
      </c>
      <c r="R92" s="9" t="str">
        <f aca="false">TEXT(A92,"mmm")</f>
        <v>Jun</v>
      </c>
      <c r="S92" s="9" t="n">
        <f aca="false">WEEKNUM(A92,2)</f>
        <v>25</v>
      </c>
      <c r="T92" s="9" t="str">
        <f aca="false">IF(A92&lt;DATE(2026,6,30),"1-Pre-outage",IF(A92&lt;DATE(2026,7,5),"2-Transition","3-Outage-heavy"))</f>
        <v>1-Pre-outage</v>
      </c>
      <c r="U92" s="9" t="str">
        <f aca="false">IF(K92="","",IF(ISNUMBER(SEARCH("TURBINE",K92)),"Turbine",IF(ISNUMBER(SEARCH("GENERATOR",K92)),"Generator",IF(ISNUMBER(SEARCH("BOILER",K92)),"Boiler",IF(ISNUMBER(SEARCH("AIR PREHEATER",K92)),"Auxiliary",IF(ISNUMBER(SEARCH("ELECTRICAL",K92)),"Electrical","Other"))))))</f>
        <v/>
      </c>
      <c r="V92" s="9" t="n">
        <f aca="false">AVERAGEIFS(G:G,B:B,B92,H:H,0)</f>
        <v>3.98375</v>
      </c>
      <c r="W92" s="9" t="n">
        <f aca="false">IF(P92=1,MAX(0,V92-G92),0)</f>
        <v>0</v>
      </c>
    </row>
    <row r="93" customFormat="false" ht="15" hidden="false" customHeight="false" outlineLevel="0" collapsed="false">
      <c r="A93" s="8" t="n">
        <v>46192</v>
      </c>
      <c r="B93" s="9" t="n">
        <v>1</v>
      </c>
      <c r="C93" s="9" t="str">
        <f aca="false">"Unit "&amp;B93</f>
        <v>Unit 1</v>
      </c>
      <c r="D93" s="9"/>
      <c r="E93" s="9" t="n">
        <v>110</v>
      </c>
      <c r="F93" s="9" t="n">
        <v>1.93</v>
      </c>
      <c r="G93" s="9" t="n">
        <v>1.65</v>
      </c>
      <c r="H93" s="9" t="n">
        <v>0</v>
      </c>
      <c r="I93" s="9"/>
      <c r="J93" s="9"/>
      <c r="K93" s="9"/>
      <c r="L93" s="9" t="n">
        <f aca="false">E93*24/1000</f>
        <v>2.64</v>
      </c>
      <c r="M93" s="10" t="n">
        <f aca="false">G93/L93</f>
        <v>0.625</v>
      </c>
      <c r="N93" s="9" t="n">
        <f aca="false">G93-F93</f>
        <v>-0.28</v>
      </c>
      <c r="O93" s="10" t="n">
        <f aca="false">IF(F93=0,"",G93/F93)</f>
        <v>0.854922279792746</v>
      </c>
      <c r="P93" s="9" t="n">
        <f aca="false">IF(H93&gt;0,1,0)</f>
        <v>0</v>
      </c>
      <c r="Q93" s="9" t="n">
        <f aca="false">IF(G93=0,1,0)</f>
        <v>0</v>
      </c>
      <c r="R93" s="9" t="str">
        <f aca="false">TEXT(A93,"mmm")</f>
        <v>Jun</v>
      </c>
      <c r="S93" s="9" t="n">
        <f aca="false">WEEKNUM(A93,2)</f>
        <v>25</v>
      </c>
      <c r="T93" s="9" t="str">
        <f aca="false">IF(A93&lt;DATE(2026,6,30),"1-Pre-outage",IF(A93&lt;DATE(2026,7,5),"2-Transition","3-Outage-heavy"))</f>
        <v>1-Pre-outage</v>
      </c>
      <c r="U93" s="9" t="str">
        <f aca="false">IF(K93="","",IF(ISNUMBER(SEARCH("TURBINE",K93)),"Turbine",IF(ISNUMBER(SEARCH("GENERATOR",K93)),"Generator",IF(ISNUMBER(SEARCH("BOILER",K93)),"Boiler",IF(ISNUMBER(SEARCH("AIR PREHEATER",K93)),"Auxiliary",IF(ISNUMBER(SEARCH("ELECTRICAL",K93)),"Electrical","Other"))))))</f>
        <v/>
      </c>
      <c r="V93" s="9" t="n">
        <f aca="false">AVERAGEIFS(G:G,B:B,B93,H:H,0)</f>
        <v>1.61181818181818</v>
      </c>
      <c r="W93" s="9" t="n">
        <f aca="false">IF(P93=1,MAX(0,V93-G93),0)</f>
        <v>0</v>
      </c>
    </row>
    <row r="94" customFormat="false" ht="15" hidden="false" customHeight="false" outlineLevel="0" collapsed="false">
      <c r="A94" s="8" t="n">
        <v>46192</v>
      </c>
      <c r="B94" s="9" t="n">
        <v>2</v>
      </c>
      <c r="C94" s="9" t="str">
        <f aca="false">"Unit "&amp;B94</f>
        <v>Unit 2</v>
      </c>
      <c r="D94" s="9"/>
      <c r="E94" s="9" t="n">
        <v>110</v>
      </c>
      <c r="F94" s="9" t="n">
        <v>1.93</v>
      </c>
      <c r="G94" s="9" t="n">
        <v>1.76</v>
      </c>
      <c r="H94" s="9" t="n">
        <v>0</v>
      </c>
      <c r="I94" s="9"/>
      <c r="J94" s="9"/>
      <c r="K94" s="9"/>
      <c r="L94" s="9" t="n">
        <f aca="false">E94*24/1000</f>
        <v>2.64</v>
      </c>
      <c r="M94" s="10" t="n">
        <f aca="false">G94/L94</f>
        <v>0.666666666666667</v>
      </c>
      <c r="N94" s="9" t="n">
        <f aca="false">G94-F94</f>
        <v>-0.17</v>
      </c>
      <c r="O94" s="10" t="n">
        <f aca="false">IF(F94=0,"",G94/F94)</f>
        <v>0.911917098445596</v>
      </c>
      <c r="P94" s="9" t="n">
        <f aca="false">IF(H94&gt;0,1,0)</f>
        <v>0</v>
      </c>
      <c r="Q94" s="9" t="n">
        <f aca="false">IF(G94=0,1,0)</f>
        <v>0</v>
      </c>
      <c r="R94" s="9" t="str">
        <f aca="false">TEXT(A94,"mmm")</f>
        <v>Jun</v>
      </c>
      <c r="S94" s="9" t="n">
        <f aca="false">WEEKNUM(A94,2)</f>
        <v>25</v>
      </c>
      <c r="T94" s="9" t="str">
        <f aca="false">IF(A94&lt;DATE(2026,6,30),"1-Pre-outage",IF(A94&lt;DATE(2026,7,5),"2-Transition","3-Outage-heavy"))</f>
        <v>1-Pre-outage</v>
      </c>
      <c r="U94" s="9" t="str">
        <f aca="false">IF(K94="","",IF(ISNUMBER(SEARCH("TURBINE",K94)),"Turbine",IF(ISNUMBER(SEARCH("GENERATOR",K94)),"Generator",IF(ISNUMBER(SEARCH("BOILER",K94)),"Boiler",IF(ISNUMBER(SEARCH("AIR PREHEATER",K94)),"Auxiliary",IF(ISNUMBER(SEARCH("ELECTRICAL",K94)),"Electrical","Other"))))))</f>
        <v/>
      </c>
      <c r="V94" s="9" t="n">
        <f aca="false">AVERAGEIFS(G:G,B:B,B94,H:H,0)</f>
        <v>1.67955555555556</v>
      </c>
      <c r="W94" s="9" t="n">
        <f aca="false">IF(P94=1,MAX(0,V94-G94),0)</f>
        <v>0</v>
      </c>
    </row>
    <row r="95" customFormat="false" ht="15" hidden="false" customHeight="false" outlineLevel="0" collapsed="false">
      <c r="A95" s="8" t="n">
        <v>46192</v>
      </c>
      <c r="B95" s="9" t="n">
        <v>3</v>
      </c>
      <c r="C95" s="9" t="str">
        <f aca="false">"Unit "&amp;B95</f>
        <v>Unit 3</v>
      </c>
      <c r="D95" s="9"/>
      <c r="E95" s="9" t="n">
        <v>210</v>
      </c>
      <c r="F95" s="9" t="n">
        <v>3.9</v>
      </c>
      <c r="G95" s="9" t="n">
        <v>3.88</v>
      </c>
      <c r="H95" s="9" t="n">
        <v>0</v>
      </c>
      <c r="I95" s="9"/>
      <c r="J95" s="9"/>
      <c r="K95" s="9"/>
      <c r="L95" s="9" t="n">
        <f aca="false">E95*24/1000</f>
        <v>5.04</v>
      </c>
      <c r="M95" s="10" t="n">
        <f aca="false">G95/L95</f>
        <v>0.76984126984127</v>
      </c>
      <c r="N95" s="9" t="n">
        <f aca="false">G95-F95</f>
        <v>-0.02</v>
      </c>
      <c r="O95" s="10" t="n">
        <f aca="false">IF(F95=0,"",G95/F95)</f>
        <v>0.994871794871795</v>
      </c>
      <c r="P95" s="9" t="n">
        <f aca="false">IF(H95&gt;0,1,0)</f>
        <v>0</v>
      </c>
      <c r="Q95" s="9" t="n">
        <f aca="false">IF(G95=0,1,0)</f>
        <v>0</v>
      </c>
      <c r="R95" s="9" t="str">
        <f aca="false">TEXT(A95,"mmm")</f>
        <v>Jun</v>
      </c>
      <c r="S95" s="9" t="n">
        <f aca="false">WEEKNUM(A95,2)</f>
        <v>25</v>
      </c>
      <c r="T95" s="9" t="str">
        <f aca="false">IF(A95&lt;DATE(2026,6,30),"1-Pre-outage",IF(A95&lt;DATE(2026,7,5),"2-Transition","3-Outage-heavy"))</f>
        <v>1-Pre-outage</v>
      </c>
      <c r="U95" s="9" t="str">
        <f aca="false">IF(K95="","",IF(ISNUMBER(SEARCH("TURBINE",K95)),"Turbine",IF(ISNUMBER(SEARCH("GENERATOR",K95)),"Generator",IF(ISNUMBER(SEARCH("BOILER",K95)),"Boiler",IF(ISNUMBER(SEARCH("AIR PREHEATER",K95)),"Auxiliary",IF(ISNUMBER(SEARCH("ELECTRICAL",K95)),"Electrical","Other"))))))</f>
        <v/>
      </c>
      <c r="V95" s="9" t="n">
        <f aca="false">AVERAGEIFS(G:G,B:B,B95,H:H,0)</f>
        <v>3.72697674418605</v>
      </c>
      <c r="W95" s="9" t="n">
        <f aca="false">IF(P95=1,MAX(0,V95-G95),0)</f>
        <v>0</v>
      </c>
    </row>
    <row r="96" customFormat="false" ht="15" hidden="false" customHeight="false" outlineLevel="0" collapsed="false">
      <c r="A96" s="8" t="n">
        <v>46192</v>
      </c>
      <c r="B96" s="9" t="n">
        <v>4</v>
      </c>
      <c r="C96" s="9" t="str">
        <f aca="false">"Unit "&amp;B96</f>
        <v>Unit 4</v>
      </c>
      <c r="D96" s="9"/>
      <c r="E96" s="9" t="n">
        <v>210</v>
      </c>
      <c r="F96" s="9" t="n">
        <v>0</v>
      </c>
      <c r="G96" s="9" t="n">
        <v>3.57</v>
      </c>
      <c r="H96" s="9" t="n">
        <v>0</v>
      </c>
      <c r="I96" s="9"/>
      <c r="J96" s="9"/>
      <c r="K96" s="9"/>
      <c r="L96" s="9" t="n">
        <f aca="false">E96*24/1000</f>
        <v>5.04</v>
      </c>
      <c r="M96" s="10" t="n">
        <f aca="false">G96/L96</f>
        <v>0.708333333333333</v>
      </c>
      <c r="N96" s="9" t="n">
        <f aca="false">G96-F96</f>
        <v>3.57</v>
      </c>
      <c r="O96" s="10" t="str">
        <f aca="false">IF(F96=0,"",G96/F96)</f>
        <v/>
      </c>
      <c r="P96" s="9" t="n">
        <f aca="false">IF(H96&gt;0,1,0)</f>
        <v>0</v>
      </c>
      <c r="Q96" s="9" t="n">
        <f aca="false">IF(G96=0,1,0)</f>
        <v>0</v>
      </c>
      <c r="R96" s="9" t="str">
        <f aca="false">TEXT(A96,"mmm")</f>
        <v>Jun</v>
      </c>
      <c r="S96" s="9" t="n">
        <f aca="false">WEEKNUM(A96,2)</f>
        <v>25</v>
      </c>
      <c r="T96" s="9" t="str">
        <f aca="false">IF(A96&lt;DATE(2026,6,30),"1-Pre-outage",IF(A96&lt;DATE(2026,7,5),"2-Transition","3-Outage-heavy"))</f>
        <v>1-Pre-outage</v>
      </c>
      <c r="U96" s="9" t="str">
        <f aca="false">IF(K96="","",IF(ISNUMBER(SEARCH("TURBINE",K96)),"Turbine",IF(ISNUMBER(SEARCH("GENERATOR",K96)),"Generator",IF(ISNUMBER(SEARCH("BOILER",K96)),"Boiler",IF(ISNUMBER(SEARCH("AIR PREHEATER",K96)),"Auxiliary",IF(ISNUMBER(SEARCH("ELECTRICAL",K96)),"Electrical","Other"))))))</f>
        <v/>
      </c>
      <c r="V96" s="9" t="n">
        <f aca="false">AVERAGEIFS(G:G,B:B,B96,H:H,0)</f>
        <v>3.53586206896552</v>
      </c>
      <c r="W96" s="9" t="n">
        <f aca="false">IF(P96=1,MAX(0,V96-G96),0)</f>
        <v>0</v>
      </c>
    </row>
    <row r="97" customFormat="false" ht="15" hidden="false" customHeight="false" outlineLevel="0" collapsed="false">
      <c r="A97" s="8" t="n">
        <v>46192</v>
      </c>
      <c r="B97" s="9" t="n">
        <v>5</v>
      </c>
      <c r="C97" s="9" t="str">
        <f aca="false">"Unit "&amp;B97</f>
        <v>Unit 5</v>
      </c>
      <c r="D97" s="9"/>
      <c r="E97" s="9" t="n">
        <v>210</v>
      </c>
      <c r="F97" s="9" t="n">
        <v>4</v>
      </c>
      <c r="G97" s="9" t="n">
        <v>4.11</v>
      </c>
      <c r="H97" s="9" t="n">
        <v>0</v>
      </c>
      <c r="I97" s="9"/>
      <c r="J97" s="9"/>
      <c r="K97" s="9"/>
      <c r="L97" s="9" t="n">
        <f aca="false">E97*24/1000</f>
        <v>5.04</v>
      </c>
      <c r="M97" s="10" t="n">
        <f aca="false">G97/L97</f>
        <v>0.815476190476191</v>
      </c>
      <c r="N97" s="9" t="n">
        <f aca="false">G97-F97</f>
        <v>0.11</v>
      </c>
      <c r="O97" s="10" t="n">
        <f aca="false">IF(F97=0,"",G97/F97)</f>
        <v>1.0275</v>
      </c>
      <c r="P97" s="9" t="n">
        <f aca="false">IF(H97&gt;0,1,0)</f>
        <v>0</v>
      </c>
      <c r="Q97" s="9" t="n">
        <f aca="false">IF(G97=0,1,0)</f>
        <v>0</v>
      </c>
      <c r="R97" s="9" t="str">
        <f aca="false">TEXT(A97,"mmm")</f>
        <v>Jun</v>
      </c>
      <c r="S97" s="9" t="n">
        <f aca="false">WEEKNUM(A97,2)</f>
        <v>25</v>
      </c>
      <c r="T97" s="9" t="str">
        <f aca="false">IF(A97&lt;DATE(2026,6,30),"1-Pre-outage",IF(A97&lt;DATE(2026,7,5),"2-Transition","3-Outage-heavy"))</f>
        <v>1-Pre-outage</v>
      </c>
      <c r="U97" s="9" t="str">
        <f aca="false">IF(K97="","",IF(ISNUMBER(SEARCH("TURBINE",K97)),"Turbine",IF(ISNUMBER(SEARCH("GENERATOR",K97)),"Generator",IF(ISNUMBER(SEARCH("BOILER",K97)),"Boiler",IF(ISNUMBER(SEARCH("AIR PREHEATER",K97)),"Auxiliary",IF(ISNUMBER(SEARCH("ELECTRICAL",K97)),"Electrical","Other"))))))</f>
        <v/>
      </c>
      <c r="V97" s="9" t="n">
        <f aca="false">AVERAGEIFS(G:G,B:B,B97,H:H,0)</f>
        <v>3.98888888888889</v>
      </c>
      <c r="W97" s="9" t="n">
        <f aca="false">IF(P97=1,MAX(0,V97-G97),0)</f>
        <v>0</v>
      </c>
    </row>
    <row r="98" customFormat="false" ht="15" hidden="false" customHeight="false" outlineLevel="0" collapsed="false">
      <c r="A98" s="8" t="n">
        <v>46192</v>
      </c>
      <c r="B98" s="9" t="n">
        <v>6</v>
      </c>
      <c r="C98" s="9" t="str">
        <f aca="false">"Unit "&amp;B98</f>
        <v>Unit 6</v>
      </c>
      <c r="D98" s="9"/>
      <c r="E98" s="9" t="n">
        <v>195</v>
      </c>
      <c r="F98" s="9" t="n">
        <v>4.1</v>
      </c>
      <c r="G98" s="9" t="n">
        <v>3.85</v>
      </c>
      <c r="H98" s="9" t="n">
        <v>0</v>
      </c>
      <c r="I98" s="9"/>
      <c r="J98" s="9"/>
      <c r="K98" s="9"/>
      <c r="L98" s="9" t="n">
        <f aca="false">E98*24/1000</f>
        <v>4.68</v>
      </c>
      <c r="M98" s="10" t="n">
        <f aca="false">G98/L98</f>
        <v>0.822649572649573</v>
      </c>
      <c r="N98" s="9" t="n">
        <f aca="false">G98-F98</f>
        <v>-0.25</v>
      </c>
      <c r="O98" s="10" t="n">
        <f aca="false">IF(F98=0,"",G98/F98)</f>
        <v>0.939024390243903</v>
      </c>
      <c r="P98" s="9" t="n">
        <f aca="false">IF(H98&gt;0,1,0)</f>
        <v>0</v>
      </c>
      <c r="Q98" s="9" t="n">
        <f aca="false">IF(G98=0,1,0)</f>
        <v>0</v>
      </c>
      <c r="R98" s="9" t="str">
        <f aca="false">TEXT(A98,"mmm")</f>
        <v>Jun</v>
      </c>
      <c r="S98" s="9" t="n">
        <f aca="false">WEEKNUM(A98,2)</f>
        <v>25</v>
      </c>
      <c r="T98" s="9" t="str">
        <f aca="false">IF(A98&lt;DATE(2026,6,30),"1-Pre-outage",IF(A98&lt;DATE(2026,7,5),"2-Transition","3-Outage-heavy"))</f>
        <v>1-Pre-outage</v>
      </c>
      <c r="U98" s="9" t="str">
        <f aca="false">IF(K98="","",IF(ISNUMBER(SEARCH("TURBINE",K98)),"Turbine",IF(ISNUMBER(SEARCH("GENERATOR",K98)),"Generator",IF(ISNUMBER(SEARCH("BOILER",K98)),"Boiler",IF(ISNUMBER(SEARCH("AIR PREHEATER",K98)),"Auxiliary",IF(ISNUMBER(SEARCH("ELECTRICAL",K98)),"Electrical","Other"))))))</f>
        <v/>
      </c>
      <c r="V98" s="9" t="n">
        <f aca="false">AVERAGEIFS(G:G,B:B,B98,H:H,0)</f>
        <v>3.85377777777778</v>
      </c>
      <c r="W98" s="9" t="n">
        <f aca="false">IF(P98=1,MAX(0,V98-G98),0)</f>
        <v>0</v>
      </c>
    </row>
    <row r="99" customFormat="false" ht="15" hidden="false" customHeight="false" outlineLevel="0" collapsed="false">
      <c r="A99" s="8" t="n">
        <v>46192</v>
      </c>
      <c r="B99" s="9" t="n">
        <v>7</v>
      </c>
      <c r="C99" s="9" t="str">
        <f aca="false">"Unit "&amp;B99</f>
        <v>Unit 7</v>
      </c>
      <c r="D99" s="9"/>
      <c r="E99" s="9" t="n">
        <v>195</v>
      </c>
      <c r="F99" s="9" t="n">
        <v>4.1</v>
      </c>
      <c r="G99" s="9" t="n">
        <v>4.21</v>
      </c>
      <c r="H99" s="9" t="n">
        <v>0</v>
      </c>
      <c r="I99" s="9"/>
      <c r="J99" s="9"/>
      <c r="K99" s="9"/>
      <c r="L99" s="9" t="n">
        <f aca="false">E99*24/1000</f>
        <v>4.68</v>
      </c>
      <c r="M99" s="10" t="n">
        <f aca="false">G99/L99</f>
        <v>0.89957264957265</v>
      </c>
      <c r="N99" s="9" t="n">
        <f aca="false">G99-F99</f>
        <v>0.11</v>
      </c>
      <c r="O99" s="10" t="n">
        <f aca="false">IF(F99=0,"",G99/F99)</f>
        <v>1.02682926829268</v>
      </c>
      <c r="P99" s="9" t="n">
        <f aca="false">IF(H99&gt;0,1,0)</f>
        <v>0</v>
      </c>
      <c r="Q99" s="9" t="n">
        <f aca="false">IF(G99=0,1,0)</f>
        <v>0</v>
      </c>
      <c r="R99" s="9" t="str">
        <f aca="false">TEXT(A99,"mmm")</f>
        <v>Jun</v>
      </c>
      <c r="S99" s="9" t="n">
        <f aca="false">WEEKNUM(A99,2)</f>
        <v>25</v>
      </c>
      <c r="T99" s="9" t="str">
        <f aca="false">IF(A99&lt;DATE(2026,6,30),"1-Pre-outage",IF(A99&lt;DATE(2026,7,5),"2-Transition","3-Outage-heavy"))</f>
        <v>1-Pre-outage</v>
      </c>
      <c r="U99" s="9" t="str">
        <f aca="false">IF(K99="","",IF(ISNUMBER(SEARCH("TURBINE",K99)),"Turbine",IF(ISNUMBER(SEARCH("GENERATOR",K99)),"Generator",IF(ISNUMBER(SEARCH("BOILER",K99)),"Boiler",IF(ISNUMBER(SEARCH("AIR PREHEATER",K99)),"Auxiliary",IF(ISNUMBER(SEARCH("ELECTRICAL",K99)),"Electrical","Other"))))))</f>
        <v/>
      </c>
      <c r="V99" s="9" t="n">
        <f aca="false">AVERAGEIFS(G:G,B:B,B99,H:H,0)</f>
        <v>3.98375</v>
      </c>
      <c r="W99" s="9" t="n">
        <f aca="false">IF(P99=1,MAX(0,V99-G99),0)</f>
        <v>0</v>
      </c>
    </row>
    <row r="100" customFormat="false" ht="15" hidden="false" customHeight="false" outlineLevel="0" collapsed="false">
      <c r="A100" s="8" t="n">
        <v>46193</v>
      </c>
      <c r="B100" s="9" t="n">
        <v>1</v>
      </c>
      <c r="C100" s="9" t="str">
        <f aca="false">"Unit "&amp;B100</f>
        <v>Unit 1</v>
      </c>
      <c r="D100" s="9"/>
      <c r="E100" s="9" t="n">
        <v>110</v>
      </c>
      <c r="F100" s="9" t="n">
        <v>1.93</v>
      </c>
      <c r="G100" s="9" t="n">
        <v>1.76</v>
      </c>
      <c r="H100" s="9" t="n">
        <v>0</v>
      </c>
      <c r="I100" s="9"/>
      <c r="J100" s="9"/>
      <c r="K100" s="9"/>
      <c r="L100" s="9" t="n">
        <f aca="false">E100*24/1000</f>
        <v>2.64</v>
      </c>
      <c r="M100" s="10" t="n">
        <f aca="false">G100/L100</f>
        <v>0.666666666666667</v>
      </c>
      <c r="N100" s="9" t="n">
        <f aca="false">G100-F100</f>
        <v>-0.17</v>
      </c>
      <c r="O100" s="10" t="n">
        <f aca="false">IF(F100=0,"",G100/F100)</f>
        <v>0.911917098445596</v>
      </c>
      <c r="P100" s="9" t="n">
        <f aca="false">IF(H100&gt;0,1,0)</f>
        <v>0</v>
      </c>
      <c r="Q100" s="9" t="n">
        <f aca="false">IF(G100=0,1,0)</f>
        <v>0</v>
      </c>
      <c r="R100" s="9" t="str">
        <f aca="false">TEXT(A100,"mmm")</f>
        <v>Jun</v>
      </c>
      <c r="S100" s="9" t="n">
        <f aca="false">WEEKNUM(A100,2)</f>
        <v>25</v>
      </c>
      <c r="T100" s="9" t="str">
        <f aca="false">IF(A100&lt;DATE(2026,6,30),"1-Pre-outage",IF(A100&lt;DATE(2026,7,5),"2-Transition","3-Outage-heavy"))</f>
        <v>1-Pre-outage</v>
      </c>
      <c r="U100" s="9" t="str">
        <f aca="false">IF(K100="","",IF(ISNUMBER(SEARCH("TURBINE",K100)),"Turbine",IF(ISNUMBER(SEARCH("GENERATOR",K100)),"Generator",IF(ISNUMBER(SEARCH("BOILER",K100)),"Boiler",IF(ISNUMBER(SEARCH("AIR PREHEATER",K100)),"Auxiliary",IF(ISNUMBER(SEARCH("ELECTRICAL",K100)),"Electrical","Other"))))))</f>
        <v/>
      </c>
      <c r="V100" s="9" t="n">
        <f aca="false">AVERAGEIFS(G:G,B:B,B100,H:H,0)</f>
        <v>1.61181818181818</v>
      </c>
      <c r="W100" s="9" t="n">
        <f aca="false">IF(P100=1,MAX(0,V100-G100),0)</f>
        <v>0</v>
      </c>
    </row>
    <row r="101" customFormat="false" ht="15" hidden="false" customHeight="false" outlineLevel="0" collapsed="false">
      <c r="A101" s="8" t="n">
        <v>46193</v>
      </c>
      <c r="B101" s="9" t="n">
        <v>2</v>
      </c>
      <c r="C101" s="9" t="str">
        <f aca="false">"Unit "&amp;B101</f>
        <v>Unit 2</v>
      </c>
      <c r="D101" s="9"/>
      <c r="E101" s="9" t="n">
        <v>110</v>
      </c>
      <c r="F101" s="9" t="n">
        <v>1.93</v>
      </c>
      <c r="G101" s="9" t="n">
        <v>1.87</v>
      </c>
      <c r="H101" s="9" t="n">
        <v>0</v>
      </c>
      <c r="I101" s="9"/>
      <c r="J101" s="9"/>
      <c r="K101" s="9"/>
      <c r="L101" s="9" t="n">
        <f aca="false">E101*24/1000</f>
        <v>2.64</v>
      </c>
      <c r="M101" s="10" t="n">
        <f aca="false">G101/L101</f>
        <v>0.708333333333333</v>
      </c>
      <c r="N101" s="9" t="n">
        <f aca="false">G101-F101</f>
        <v>-0.0599999999999998</v>
      </c>
      <c r="O101" s="10" t="n">
        <f aca="false">IF(F101=0,"",G101/F101)</f>
        <v>0.968911917098446</v>
      </c>
      <c r="P101" s="9" t="n">
        <f aca="false">IF(H101&gt;0,1,0)</f>
        <v>0</v>
      </c>
      <c r="Q101" s="9" t="n">
        <f aca="false">IF(G101=0,1,0)</f>
        <v>0</v>
      </c>
      <c r="R101" s="9" t="str">
        <f aca="false">TEXT(A101,"mmm")</f>
        <v>Jun</v>
      </c>
      <c r="S101" s="9" t="n">
        <f aca="false">WEEKNUM(A101,2)</f>
        <v>25</v>
      </c>
      <c r="T101" s="9" t="str">
        <f aca="false">IF(A101&lt;DATE(2026,6,30),"1-Pre-outage",IF(A101&lt;DATE(2026,7,5),"2-Transition","3-Outage-heavy"))</f>
        <v>1-Pre-outage</v>
      </c>
      <c r="U101" s="9" t="str">
        <f aca="false">IF(K101="","",IF(ISNUMBER(SEARCH("TURBINE",K101)),"Turbine",IF(ISNUMBER(SEARCH("GENERATOR",K101)),"Generator",IF(ISNUMBER(SEARCH("BOILER",K101)),"Boiler",IF(ISNUMBER(SEARCH("AIR PREHEATER",K101)),"Auxiliary",IF(ISNUMBER(SEARCH("ELECTRICAL",K101)),"Electrical","Other"))))))</f>
        <v/>
      </c>
      <c r="V101" s="9" t="n">
        <f aca="false">AVERAGEIFS(G:G,B:B,B101,H:H,0)</f>
        <v>1.67955555555556</v>
      </c>
      <c r="W101" s="9" t="n">
        <f aca="false">IF(P101=1,MAX(0,V101-G101),0)</f>
        <v>0</v>
      </c>
    </row>
    <row r="102" customFormat="false" ht="15" hidden="false" customHeight="false" outlineLevel="0" collapsed="false">
      <c r="A102" s="8" t="n">
        <v>46193</v>
      </c>
      <c r="B102" s="9" t="n">
        <v>3</v>
      </c>
      <c r="C102" s="9" t="str">
        <f aca="false">"Unit "&amp;B102</f>
        <v>Unit 3</v>
      </c>
      <c r="D102" s="9"/>
      <c r="E102" s="9" t="n">
        <v>210</v>
      </c>
      <c r="F102" s="9" t="n">
        <v>3.9</v>
      </c>
      <c r="G102" s="9" t="n">
        <v>4.03</v>
      </c>
      <c r="H102" s="9" t="n">
        <v>0</v>
      </c>
      <c r="I102" s="9"/>
      <c r="J102" s="9"/>
      <c r="K102" s="9"/>
      <c r="L102" s="9" t="n">
        <f aca="false">E102*24/1000</f>
        <v>5.04</v>
      </c>
      <c r="M102" s="10" t="n">
        <f aca="false">G102/L102</f>
        <v>0.799603174603175</v>
      </c>
      <c r="N102" s="9" t="n">
        <f aca="false">G102-F102</f>
        <v>0.13</v>
      </c>
      <c r="O102" s="10" t="n">
        <f aca="false">IF(F102=0,"",G102/F102)</f>
        <v>1.03333333333333</v>
      </c>
      <c r="P102" s="9" t="n">
        <f aca="false">IF(H102&gt;0,1,0)</f>
        <v>0</v>
      </c>
      <c r="Q102" s="9" t="n">
        <f aca="false">IF(G102=0,1,0)</f>
        <v>0</v>
      </c>
      <c r="R102" s="9" t="str">
        <f aca="false">TEXT(A102,"mmm")</f>
        <v>Jun</v>
      </c>
      <c r="S102" s="9" t="n">
        <f aca="false">WEEKNUM(A102,2)</f>
        <v>25</v>
      </c>
      <c r="T102" s="9" t="str">
        <f aca="false">IF(A102&lt;DATE(2026,6,30),"1-Pre-outage",IF(A102&lt;DATE(2026,7,5),"2-Transition","3-Outage-heavy"))</f>
        <v>1-Pre-outage</v>
      </c>
      <c r="U102" s="9" t="str">
        <f aca="false">IF(K102="","",IF(ISNUMBER(SEARCH("TURBINE",K102)),"Turbine",IF(ISNUMBER(SEARCH("GENERATOR",K102)),"Generator",IF(ISNUMBER(SEARCH("BOILER",K102)),"Boiler",IF(ISNUMBER(SEARCH("AIR PREHEATER",K102)),"Auxiliary",IF(ISNUMBER(SEARCH("ELECTRICAL",K102)),"Electrical","Other"))))))</f>
        <v/>
      </c>
      <c r="V102" s="9" t="n">
        <f aca="false">AVERAGEIFS(G:G,B:B,B102,H:H,0)</f>
        <v>3.72697674418605</v>
      </c>
      <c r="W102" s="9" t="n">
        <f aca="false">IF(P102=1,MAX(0,V102-G102),0)</f>
        <v>0</v>
      </c>
    </row>
    <row r="103" customFormat="false" ht="15" hidden="false" customHeight="false" outlineLevel="0" collapsed="false">
      <c r="A103" s="8" t="n">
        <v>46193</v>
      </c>
      <c r="B103" s="9" t="n">
        <v>4</v>
      </c>
      <c r="C103" s="9" t="str">
        <f aca="false">"Unit "&amp;B103</f>
        <v>Unit 4</v>
      </c>
      <c r="D103" s="9"/>
      <c r="E103" s="9" t="n">
        <v>210</v>
      </c>
      <c r="F103" s="9" t="n">
        <v>0</v>
      </c>
      <c r="G103" s="9" t="n">
        <v>3.65</v>
      </c>
      <c r="H103" s="9" t="n">
        <v>0</v>
      </c>
      <c r="I103" s="9"/>
      <c r="J103" s="9"/>
      <c r="K103" s="9"/>
      <c r="L103" s="9" t="n">
        <f aca="false">E103*24/1000</f>
        <v>5.04</v>
      </c>
      <c r="M103" s="10" t="n">
        <f aca="false">G103/L103</f>
        <v>0.724206349206349</v>
      </c>
      <c r="N103" s="9" t="n">
        <f aca="false">G103-F103</f>
        <v>3.65</v>
      </c>
      <c r="O103" s="10" t="str">
        <f aca="false">IF(F103=0,"",G103/F103)</f>
        <v/>
      </c>
      <c r="P103" s="9" t="n">
        <f aca="false">IF(H103&gt;0,1,0)</f>
        <v>0</v>
      </c>
      <c r="Q103" s="9" t="n">
        <f aca="false">IF(G103=0,1,0)</f>
        <v>0</v>
      </c>
      <c r="R103" s="9" t="str">
        <f aca="false">TEXT(A103,"mmm")</f>
        <v>Jun</v>
      </c>
      <c r="S103" s="9" t="n">
        <f aca="false">WEEKNUM(A103,2)</f>
        <v>25</v>
      </c>
      <c r="T103" s="9" t="str">
        <f aca="false">IF(A103&lt;DATE(2026,6,30),"1-Pre-outage",IF(A103&lt;DATE(2026,7,5),"2-Transition","3-Outage-heavy"))</f>
        <v>1-Pre-outage</v>
      </c>
      <c r="U103" s="9" t="str">
        <f aca="false">IF(K103="","",IF(ISNUMBER(SEARCH("TURBINE",K103)),"Turbine",IF(ISNUMBER(SEARCH("GENERATOR",K103)),"Generator",IF(ISNUMBER(SEARCH("BOILER",K103)),"Boiler",IF(ISNUMBER(SEARCH("AIR PREHEATER",K103)),"Auxiliary",IF(ISNUMBER(SEARCH("ELECTRICAL",K103)),"Electrical","Other"))))))</f>
        <v/>
      </c>
      <c r="V103" s="9" t="n">
        <f aca="false">AVERAGEIFS(G:G,B:B,B103,H:H,0)</f>
        <v>3.53586206896552</v>
      </c>
      <c r="W103" s="9" t="n">
        <f aca="false">IF(P103=1,MAX(0,V103-G103),0)</f>
        <v>0</v>
      </c>
    </row>
    <row r="104" customFormat="false" ht="15" hidden="false" customHeight="false" outlineLevel="0" collapsed="false">
      <c r="A104" s="8" t="n">
        <v>46193</v>
      </c>
      <c r="B104" s="9" t="n">
        <v>5</v>
      </c>
      <c r="C104" s="9" t="str">
        <f aca="false">"Unit "&amp;B104</f>
        <v>Unit 5</v>
      </c>
      <c r="D104" s="9"/>
      <c r="E104" s="9" t="n">
        <v>210</v>
      </c>
      <c r="F104" s="9" t="n">
        <v>4</v>
      </c>
      <c r="G104" s="9" t="n">
        <v>4.24</v>
      </c>
      <c r="H104" s="9" t="n">
        <v>0</v>
      </c>
      <c r="I104" s="9"/>
      <c r="J104" s="9"/>
      <c r="K104" s="9"/>
      <c r="L104" s="9" t="n">
        <f aca="false">E104*24/1000</f>
        <v>5.04</v>
      </c>
      <c r="M104" s="10" t="n">
        <f aca="false">G104/L104</f>
        <v>0.841269841269841</v>
      </c>
      <c r="N104" s="9" t="n">
        <f aca="false">G104-F104</f>
        <v>0.24</v>
      </c>
      <c r="O104" s="10" t="n">
        <f aca="false">IF(F104=0,"",G104/F104)</f>
        <v>1.06</v>
      </c>
      <c r="P104" s="9" t="n">
        <f aca="false">IF(H104&gt;0,1,0)</f>
        <v>0</v>
      </c>
      <c r="Q104" s="9" t="n">
        <f aca="false">IF(G104=0,1,0)</f>
        <v>0</v>
      </c>
      <c r="R104" s="9" t="str">
        <f aca="false">TEXT(A104,"mmm")</f>
        <v>Jun</v>
      </c>
      <c r="S104" s="9" t="n">
        <f aca="false">WEEKNUM(A104,2)</f>
        <v>25</v>
      </c>
      <c r="T104" s="9" t="str">
        <f aca="false">IF(A104&lt;DATE(2026,6,30),"1-Pre-outage",IF(A104&lt;DATE(2026,7,5),"2-Transition","3-Outage-heavy"))</f>
        <v>1-Pre-outage</v>
      </c>
      <c r="U104" s="9" t="str">
        <f aca="false">IF(K104="","",IF(ISNUMBER(SEARCH("TURBINE",K104)),"Turbine",IF(ISNUMBER(SEARCH("GENERATOR",K104)),"Generator",IF(ISNUMBER(SEARCH("BOILER",K104)),"Boiler",IF(ISNUMBER(SEARCH("AIR PREHEATER",K104)),"Auxiliary",IF(ISNUMBER(SEARCH("ELECTRICAL",K104)),"Electrical","Other"))))))</f>
        <v/>
      </c>
      <c r="V104" s="9" t="n">
        <f aca="false">AVERAGEIFS(G:G,B:B,B104,H:H,0)</f>
        <v>3.98888888888889</v>
      </c>
      <c r="W104" s="9" t="n">
        <f aca="false">IF(P104=1,MAX(0,V104-G104),0)</f>
        <v>0</v>
      </c>
    </row>
    <row r="105" customFormat="false" ht="15" hidden="false" customHeight="false" outlineLevel="0" collapsed="false">
      <c r="A105" s="8" t="n">
        <v>46193</v>
      </c>
      <c r="B105" s="9" t="n">
        <v>6</v>
      </c>
      <c r="C105" s="9" t="str">
        <f aca="false">"Unit "&amp;B105</f>
        <v>Unit 6</v>
      </c>
      <c r="D105" s="9"/>
      <c r="E105" s="9" t="n">
        <v>195</v>
      </c>
      <c r="F105" s="9" t="n">
        <v>4.1</v>
      </c>
      <c r="G105" s="9" t="n">
        <v>3.85</v>
      </c>
      <c r="H105" s="9" t="n">
        <v>0</v>
      </c>
      <c r="I105" s="9"/>
      <c r="J105" s="9"/>
      <c r="K105" s="9"/>
      <c r="L105" s="9" t="n">
        <f aca="false">E105*24/1000</f>
        <v>4.68</v>
      </c>
      <c r="M105" s="10" t="n">
        <f aca="false">G105/L105</f>
        <v>0.822649572649573</v>
      </c>
      <c r="N105" s="9" t="n">
        <f aca="false">G105-F105</f>
        <v>-0.25</v>
      </c>
      <c r="O105" s="10" t="n">
        <f aca="false">IF(F105=0,"",G105/F105)</f>
        <v>0.939024390243903</v>
      </c>
      <c r="P105" s="9" t="n">
        <f aca="false">IF(H105&gt;0,1,0)</f>
        <v>0</v>
      </c>
      <c r="Q105" s="9" t="n">
        <f aca="false">IF(G105=0,1,0)</f>
        <v>0</v>
      </c>
      <c r="R105" s="9" t="str">
        <f aca="false">TEXT(A105,"mmm")</f>
        <v>Jun</v>
      </c>
      <c r="S105" s="9" t="n">
        <f aca="false">WEEKNUM(A105,2)</f>
        <v>25</v>
      </c>
      <c r="T105" s="9" t="str">
        <f aca="false">IF(A105&lt;DATE(2026,6,30),"1-Pre-outage",IF(A105&lt;DATE(2026,7,5),"2-Transition","3-Outage-heavy"))</f>
        <v>1-Pre-outage</v>
      </c>
      <c r="U105" s="9" t="str">
        <f aca="false">IF(K105="","",IF(ISNUMBER(SEARCH("TURBINE",K105)),"Turbine",IF(ISNUMBER(SEARCH("GENERATOR",K105)),"Generator",IF(ISNUMBER(SEARCH("BOILER",K105)),"Boiler",IF(ISNUMBER(SEARCH("AIR PREHEATER",K105)),"Auxiliary",IF(ISNUMBER(SEARCH("ELECTRICAL",K105)),"Electrical","Other"))))))</f>
        <v/>
      </c>
      <c r="V105" s="9" t="n">
        <f aca="false">AVERAGEIFS(G:G,B:B,B105,H:H,0)</f>
        <v>3.85377777777778</v>
      </c>
      <c r="W105" s="9" t="n">
        <f aca="false">IF(P105=1,MAX(0,V105-G105),0)</f>
        <v>0</v>
      </c>
    </row>
    <row r="106" customFormat="false" ht="15" hidden="false" customHeight="false" outlineLevel="0" collapsed="false">
      <c r="A106" s="8" t="n">
        <v>46193</v>
      </c>
      <c r="B106" s="9" t="n">
        <v>7</v>
      </c>
      <c r="C106" s="9" t="str">
        <f aca="false">"Unit "&amp;B106</f>
        <v>Unit 7</v>
      </c>
      <c r="D106" s="9"/>
      <c r="E106" s="9" t="n">
        <v>195</v>
      </c>
      <c r="F106" s="9" t="n">
        <v>4.1</v>
      </c>
      <c r="G106" s="9" t="n">
        <v>4.21</v>
      </c>
      <c r="H106" s="9" t="n">
        <v>0</v>
      </c>
      <c r="I106" s="9"/>
      <c r="J106" s="9"/>
      <c r="K106" s="9"/>
      <c r="L106" s="9" t="n">
        <f aca="false">E106*24/1000</f>
        <v>4.68</v>
      </c>
      <c r="M106" s="10" t="n">
        <f aca="false">G106/L106</f>
        <v>0.89957264957265</v>
      </c>
      <c r="N106" s="9" t="n">
        <f aca="false">G106-F106</f>
        <v>0.11</v>
      </c>
      <c r="O106" s="10" t="n">
        <f aca="false">IF(F106=0,"",G106/F106)</f>
        <v>1.02682926829268</v>
      </c>
      <c r="P106" s="9" t="n">
        <f aca="false">IF(H106&gt;0,1,0)</f>
        <v>0</v>
      </c>
      <c r="Q106" s="9" t="n">
        <f aca="false">IF(G106=0,1,0)</f>
        <v>0</v>
      </c>
      <c r="R106" s="9" t="str">
        <f aca="false">TEXT(A106,"mmm")</f>
        <v>Jun</v>
      </c>
      <c r="S106" s="9" t="n">
        <f aca="false">WEEKNUM(A106,2)</f>
        <v>25</v>
      </c>
      <c r="T106" s="9" t="str">
        <f aca="false">IF(A106&lt;DATE(2026,6,30),"1-Pre-outage",IF(A106&lt;DATE(2026,7,5),"2-Transition","3-Outage-heavy"))</f>
        <v>1-Pre-outage</v>
      </c>
      <c r="U106" s="9" t="str">
        <f aca="false">IF(K106="","",IF(ISNUMBER(SEARCH("TURBINE",K106)),"Turbine",IF(ISNUMBER(SEARCH("GENERATOR",K106)),"Generator",IF(ISNUMBER(SEARCH("BOILER",K106)),"Boiler",IF(ISNUMBER(SEARCH("AIR PREHEATER",K106)),"Auxiliary",IF(ISNUMBER(SEARCH("ELECTRICAL",K106)),"Electrical","Other"))))))</f>
        <v/>
      </c>
      <c r="V106" s="9" t="n">
        <f aca="false">AVERAGEIFS(G:G,B:B,B106,H:H,0)</f>
        <v>3.98375</v>
      </c>
      <c r="W106" s="9" t="n">
        <f aca="false">IF(P106=1,MAX(0,V106-G106),0)</f>
        <v>0</v>
      </c>
    </row>
    <row r="107" customFormat="false" ht="15" hidden="false" customHeight="false" outlineLevel="0" collapsed="false">
      <c r="A107" s="8" t="n">
        <v>46194</v>
      </c>
      <c r="B107" s="9" t="n">
        <v>1</v>
      </c>
      <c r="C107" s="9" t="str">
        <f aca="false">"Unit "&amp;B107</f>
        <v>Unit 1</v>
      </c>
      <c r="D107" s="9"/>
      <c r="E107" s="9" t="n">
        <v>110</v>
      </c>
      <c r="F107" s="9" t="n">
        <v>1.93</v>
      </c>
      <c r="G107" s="9" t="n">
        <v>1.53</v>
      </c>
      <c r="H107" s="9" t="n">
        <v>0</v>
      </c>
      <c r="I107" s="9"/>
      <c r="J107" s="9"/>
      <c r="K107" s="9"/>
      <c r="L107" s="9" t="n">
        <f aca="false">E107*24/1000</f>
        <v>2.64</v>
      </c>
      <c r="M107" s="10" t="n">
        <f aca="false">G107/L107</f>
        <v>0.579545454545455</v>
      </c>
      <c r="N107" s="9" t="n">
        <f aca="false">G107-F107</f>
        <v>-0.4</v>
      </c>
      <c r="O107" s="10" t="n">
        <f aca="false">IF(F107=0,"",G107/F107)</f>
        <v>0.792746113989637</v>
      </c>
      <c r="P107" s="9" t="n">
        <f aca="false">IF(H107&gt;0,1,0)</f>
        <v>0</v>
      </c>
      <c r="Q107" s="9" t="n">
        <f aca="false">IF(G107=0,1,0)</f>
        <v>0</v>
      </c>
      <c r="R107" s="9" t="str">
        <f aca="false">TEXT(A107,"mmm")</f>
        <v>Jun</v>
      </c>
      <c r="S107" s="9" t="n">
        <f aca="false">WEEKNUM(A107,2)</f>
        <v>25</v>
      </c>
      <c r="T107" s="9" t="str">
        <f aca="false">IF(A107&lt;DATE(2026,6,30),"1-Pre-outage",IF(A107&lt;DATE(2026,7,5),"2-Transition","3-Outage-heavy"))</f>
        <v>1-Pre-outage</v>
      </c>
      <c r="U107" s="9" t="str">
        <f aca="false">IF(K107="","",IF(ISNUMBER(SEARCH("TURBINE",K107)),"Turbine",IF(ISNUMBER(SEARCH("GENERATOR",K107)),"Generator",IF(ISNUMBER(SEARCH("BOILER",K107)),"Boiler",IF(ISNUMBER(SEARCH("AIR PREHEATER",K107)),"Auxiliary",IF(ISNUMBER(SEARCH("ELECTRICAL",K107)),"Electrical","Other"))))))</f>
        <v/>
      </c>
      <c r="V107" s="9" t="n">
        <f aca="false">AVERAGEIFS(G:G,B:B,B107,H:H,0)</f>
        <v>1.61181818181818</v>
      </c>
      <c r="W107" s="9" t="n">
        <f aca="false">IF(P107=1,MAX(0,V107-G107),0)</f>
        <v>0</v>
      </c>
    </row>
    <row r="108" customFormat="false" ht="15" hidden="false" customHeight="false" outlineLevel="0" collapsed="false">
      <c r="A108" s="8" t="n">
        <v>46194</v>
      </c>
      <c r="B108" s="9" t="n">
        <v>2</v>
      </c>
      <c r="C108" s="9" t="str">
        <f aca="false">"Unit "&amp;B108</f>
        <v>Unit 2</v>
      </c>
      <c r="D108" s="9"/>
      <c r="E108" s="9" t="n">
        <v>110</v>
      </c>
      <c r="F108" s="9" t="n">
        <v>1.93</v>
      </c>
      <c r="G108" s="9" t="n">
        <v>1.62</v>
      </c>
      <c r="H108" s="9" t="n">
        <v>0</v>
      </c>
      <c r="I108" s="9"/>
      <c r="J108" s="9"/>
      <c r="K108" s="9"/>
      <c r="L108" s="9" t="n">
        <f aca="false">E108*24/1000</f>
        <v>2.64</v>
      </c>
      <c r="M108" s="10" t="n">
        <f aca="false">G108/L108</f>
        <v>0.613636363636364</v>
      </c>
      <c r="N108" s="9" t="n">
        <f aca="false">G108-F108</f>
        <v>-0.31</v>
      </c>
      <c r="O108" s="10" t="n">
        <f aca="false">IF(F108=0,"",G108/F108)</f>
        <v>0.839378238341969</v>
      </c>
      <c r="P108" s="9" t="n">
        <f aca="false">IF(H108&gt;0,1,0)</f>
        <v>0</v>
      </c>
      <c r="Q108" s="9" t="n">
        <f aca="false">IF(G108=0,1,0)</f>
        <v>0</v>
      </c>
      <c r="R108" s="9" t="str">
        <f aca="false">TEXT(A108,"mmm")</f>
        <v>Jun</v>
      </c>
      <c r="S108" s="9" t="n">
        <f aca="false">WEEKNUM(A108,2)</f>
        <v>25</v>
      </c>
      <c r="T108" s="9" t="str">
        <f aca="false">IF(A108&lt;DATE(2026,6,30),"1-Pre-outage",IF(A108&lt;DATE(2026,7,5),"2-Transition","3-Outage-heavy"))</f>
        <v>1-Pre-outage</v>
      </c>
      <c r="U108" s="9" t="str">
        <f aca="false">IF(K108="","",IF(ISNUMBER(SEARCH("TURBINE",K108)),"Turbine",IF(ISNUMBER(SEARCH("GENERATOR",K108)),"Generator",IF(ISNUMBER(SEARCH("BOILER",K108)),"Boiler",IF(ISNUMBER(SEARCH("AIR PREHEATER",K108)),"Auxiliary",IF(ISNUMBER(SEARCH("ELECTRICAL",K108)),"Electrical","Other"))))))</f>
        <v/>
      </c>
      <c r="V108" s="9" t="n">
        <f aca="false">AVERAGEIFS(G:G,B:B,B108,H:H,0)</f>
        <v>1.67955555555556</v>
      </c>
      <c r="W108" s="9" t="n">
        <f aca="false">IF(P108=1,MAX(0,V108-G108),0)</f>
        <v>0</v>
      </c>
    </row>
    <row r="109" customFormat="false" ht="15" hidden="false" customHeight="false" outlineLevel="0" collapsed="false">
      <c r="A109" s="8" t="n">
        <v>46194</v>
      </c>
      <c r="B109" s="9" t="n">
        <v>3</v>
      </c>
      <c r="C109" s="9" t="str">
        <f aca="false">"Unit "&amp;B109</f>
        <v>Unit 3</v>
      </c>
      <c r="D109" s="9"/>
      <c r="E109" s="9" t="n">
        <v>210</v>
      </c>
      <c r="F109" s="9" t="n">
        <v>3.9</v>
      </c>
      <c r="G109" s="9" t="n">
        <v>3.64</v>
      </c>
      <c r="H109" s="9" t="n">
        <v>0</v>
      </c>
      <c r="I109" s="9"/>
      <c r="J109" s="9"/>
      <c r="K109" s="9"/>
      <c r="L109" s="9" t="n">
        <f aca="false">E109*24/1000</f>
        <v>5.04</v>
      </c>
      <c r="M109" s="10" t="n">
        <f aca="false">G109/L109</f>
        <v>0.722222222222222</v>
      </c>
      <c r="N109" s="9" t="n">
        <f aca="false">G109-F109</f>
        <v>-0.26</v>
      </c>
      <c r="O109" s="10" t="n">
        <f aca="false">IF(F109=0,"",G109/F109)</f>
        <v>0.933333333333333</v>
      </c>
      <c r="P109" s="9" t="n">
        <f aca="false">IF(H109&gt;0,1,0)</f>
        <v>0</v>
      </c>
      <c r="Q109" s="9" t="n">
        <f aca="false">IF(G109=0,1,0)</f>
        <v>0</v>
      </c>
      <c r="R109" s="9" t="str">
        <f aca="false">TEXT(A109,"mmm")</f>
        <v>Jun</v>
      </c>
      <c r="S109" s="9" t="n">
        <f aca="false">WEEKNUM(A109,2)</f>
        <v>25</v>
      </c>
      <c r="T109" s="9" t="str">
        <f aca="false">IF(A109&lt;DATE(2026,6,30),"1-Pre-outage",IF(A109&lt;DATE(2026,7,5),"2-Transition","3-Outage-heavy"))</f>
        <v>1-Pre-outage</v>
      </c>
      <c r="U109" s="9" t="str">
        <f aca="false">IF(K109="","",IF(ISNUMBER(SEARCH("TURBINE",K109)),"Turbine",IF(ISNUMBER(SEARCH("GENERATOR",K109)),"Generator",IF(ISNUMBER(SEARCH("BOILER",K109)),"Boiler",IF(ISNUMBER(SEARCH("AIR PREHEATER",K109)),"Auxiliary",IF(ISNUMBER(SEARCH("ELECTRICAL",K109)),"Electrical","Other"))))))</f>
        <v/>
      </c>
      <c r="V109" s="9" t="n">
        <f aca="false">AVERAGEIFS(G:G,B:B,B109,H:H,0)</f>
        <v>3.72697674418605</v>
      </c>
      <c r="W109" s="9" t="n">
        <f aca="false">IF(P109=1,MAX(0,V109-G109),0)</f>
        <v>0</v>
      </c>
    </row>
    <row r="110" customFormat="false" ht="15" hidden="false" customHeight="false" outlineLevel="0" collapsed="false">
      <c r="A110" s="8" t="n">
        <v>46194</v>
      </c>
      <c r="B110" s="9" t="n">
        <v>4</v>
      </c>
      <c r="C110" s="9" t="str">
        <f aca="false">"Unit "&amp;B110</f>
        <v>Unit 4</v>
      </c>
      <c r="D110" s="9"/>
      <c r="E110" s="9" t="n">
        <v>210</v>
      </c>
      <c r="F110" s="9" t="n">
        <v>0</v>
      </c>
      <c r="G110" s="9" t="n">
        <v>3.52</v>
      </c>
      <c r="H110" s="9" t="n">
        <v>0</v>
      </c>
      <c r="I110" s="9"/>
      <c r="J110" s="9"/>
      <c r="K110" s="9"/>
      <c r="L110" s="9" t="n">
        <f aca="false">E110*24/1000</f>
        <v>5.04</v>
      </c>
      <c r="M110" s="10" t="n">
        <f aca="false">G110/L110</f>
        <v>0.698412698412698</v>
      </c>
      <c r="N110" s="9" t="n">
        <f aca="false">G110-F110</f>
        <v>3.52</v>
      </c>
      <c r="O110" s="10" t="str">
        <f aca="false">IF(F110=0,"",G110/F110)</f>
        <v/>
      </c>
      <c r="P110" s="9" t="n">
        <f aca="false">IF(H110&gt;0,1,0)</f>
        <v>0</v>
      </c>
      <c r="Q110" s="9" t="n">
        <f aca="false">IF(G110=0,1,0)</f>
        <v>0</v>
      </c>
      <c r="R110" s="9" t="str">
        <f aca="false">TEXT(A110,"mmm")</f>
        <v>Jun</v>
      </c>
      <c r="S110" s="9" t="n">
        <f aca="false">WEEKNUM(A110,2)</f>
        <v>25</v>
      </c>
      <c r="T110" s="9" t="str">
        <f aca="false">IF(A110&lt;DATE(2026,6,30),"1-Pre-outage",IF(A110&lt;DATE(2026,7,5),"2-Transition","3-Outage-heavy"))</f>
        <v>1-Pre-outage</v>
      </c>
      <c r="U110" s="9" t="str">
        <f aca="false">IF(K110="","",IF(ISNUMBER(SEARCH("TURBINE",K110)),"Turbine",IF(ISNUMBER(SEARCH("GENERATOR",K110)),"Generator",IF(ISNUMBER(SEARCH("BOILER",K110)),"Boiler",IF(ISNUMBER(SEARCH("AIR PREHEATER",K110)),"Auxiliary",IF(ISNUMBER(SEARCH("ELECTRICAL",K110)),"Electrical","Other"))))))</f>
        <v/>
      </c>
      <c r="V110" s="9" t="n">
        <f aca="false">AVERAGEIFS(G:G,B:B,B110,H:H,0)</f>
        <v>3.53586206896552</v>
      </c>
      <c r="W110" s="9" t="n">
        <f aca="false">IF(P110=1,MAX(0,V110-G110),0)</f>
        <v>0</v>
      </c>
    </row>
    <row r="111" customFormat="false" ht="15" hidden="false" customHeight="false" outlineLevel="0" collapsed="false">
      <c r="A111" s="8" t="n">
        <v>46194</v>
      </c>
      <c r="B111" s="9" t="n">
        <v>5</v>
      </c>
      <c r="C111" s="9" t="str">
        <f aca="false">"Unit "&amp;B111</f>
        <v>Unit 5</v>
      </c>
      <c r="D111" s="9"/>
      <c r="E111" s="9" t="n">
        <v>210</v>
      </c>
      <c r="F111" s="9" t="n">
        <v>4</v>
      </c>
      <c r="G111" s="9" t="n">
        <v>3.8</v>
      </c>
      <c r="H111" s="9" t="n">
        <v>0</v>
      </c>
      <c r="I111" s="9"/>
      <c r="J111" s="9"/>
      <c r="K111" s="9"/>
      <c r="L111" s="9" t="n">
        <f aca="false">E111*24/1000</f>
        <v>5.04</v>
      </c>
      <c r="M111" s="10" t="n">
        <f aca="false">G111/L111</f>
        <v>0.753968253968254</v>
      </c>
      <c r="N111" s="9" t="n">
        <f aca="false">G111-F111</f>
        <v>-0.2</v>
      </c>
      <c r="O111" s="10" t="n">
        <f aca="false">IF(F111=0,"",G111/F111)</f>
        <v>0.95</v>
      </c>
      <c r="P111" s="9" t="n">
        <f aca="false">IF(H111&gt;0,1,0)</f>
        <v>0</v>
      </c>
      <c r="Q111" s="9" t="n">
        <f aca="false">IF(G111=0,1,0)</f>
        <v>0</v>
      </c>
      <c r="R111" s="9" t="str">
        <f aca="false">TEXT(A111,"mmm")</f>
        <v>Jun</v>
      </c>
      <c r="S111" s="9" t="n">
        <f aca="false">WEEKNUM(A111,2)</f>
        <v>25</v>
      </c>
      <c r="T111" s="9" t="str">
        <f aca="false">IF(A111&lt;DATE(2026,6,30),"1-Pre-outage",IF(A111&lt;DATE(2026,7,5),"2-Transition","3-Outage-heavy"))</f>
        <v>1-Pre-outage</v>
      </c>
      <c r="U111" s="9" t="str">
        <f aca="false">IF(K111="","",IF(ISNUMBER(SEARCH("TURBINE",K111)),"Turbine",IF(ISNUMBER(SEARCH("GENERATOR",K111)),"Generator",IF(ISNUMBER(SEARCH("BOILER",K111)),"Boiler",IF(ISNUMBER(SEARCH("AIR PREHEATER",K111)),"Auxiliary",IF(ISNUMBER(SEARCH("ELECTRICAL",K111)),"Electrical","Other"))))))</f>
        <v/>
      </c>
      <c r="V111" s="9" t="n">
        <f aca="false">AVERAGEIFS(G:G,B:B,B111,H:H,0)</f>
        <v>3.98888888888889</v>
      </c>
      <c r="W111" s="9" t="n">
        <f aca="false">IF(P111=1,MAX(0,V111-G111),0)</f>
        <v>0</v>
      </c>
    </row>
    <row r="112" customFormat="false" ht="15" hidden="false" customHeight="false" outlineLevel="0" collapsed="false">
      <c r="A112" s="8" t="n">
        <v>46194</v>
      </c>
      <c r="B112" s="9" t="n">
        <v>6</v>
      </c>
      <c r="C112" s="9" t="str">
        <f aca="false">"Unit "&amp;B112</f>
        <v>Unit 6</v>
      </c>
      <c r="D112" s="9"/>
      <c r="E112" s="9" t="n">
        <v>195</v>
      </c>
      <c r="F112" s="9" t="n">
        <v>4.1</v>
      </c>
      <c r="G112" s="9" t="n">
        <v>3.85</v>
      </c>
      <c r="H112" s="9" t="n">
        <v>0</v>
      </c>
      <c r="I112" s="9"/>
      <c r="J112" s="9"/>
      <c r="K112" s="9"/>
      <c r="L112" s="9" t="n">
        <f aca="false">E112*24/1000</f>
        <v>4.68</v>
      </c>
      <c r="M112" s="10" t="n">
        <f aca="false">G112/L112</f>
        <v>0.822649572649573</v>
      </c>
      <c r="N112" s="9" t="n">
        <f aca="false">G112-F112</f>
        <v>-0.25</v>
      </c>
      <c r="O112" s="10" t="n">
        <f aca="false">IF(F112=0,"",G112/F112)</f>
        <v>0.939024390243903</v>
      </c>
      <c r="P112" s="9" t="n">
        <f aca="false">IF(H112&gt;0,1,0)</f>
        <v>0</v>
      </c>
      <c r="Q112" s="9" t="n">
        <f aca="false">IF(G112=0,1,0)</f>
        <v>0</v>
      </c>
      <c r="R112" s="9" t="str">
        <f aca="false">TEXT(A112,"mmm")</f>
        <v>Jun</v>
      </c>
      <c r="S112" s="9" t="n">
        <f aca="false">WEEKNUM(A112,2)</f>
        <v>25</v>
      </c>
      <c r="T112" s="9" t="str">
        <f aca="false">IF(A112&lt;DATE(2026,6,30),"1-Pre-outage",IF(A112&lt;DATE(2026,7,5),"2-Transition","3-Outage-heavy"))</f>
        <v>1-Pre-outage</v>
      </c>
      <c r="U112" s="9" t="str">
        <f aca="false">IF(K112="","",IF(ISNUMBER(SEARCH("TURBINE",K112)),"Turbine",IF(ISNUMBER(SEARCH("GENERATOR",K112)),"Generator",IF(ISNUMBER(SEARCH("BOILER",K112)),"Boiler",IF(ISNUMBER(SEARCH("AIR PREHEATER",K112)),"Auxiliary",IF(ISNUMBER(SEARCH("ELECTRICAL",K112)),"Electrical","Other"))))))</f>
        <v/>
      </c>
      <c r="V112" s="9" t="n">
        <f aca="false">AVERAGEIFS(G:G,B:B,B112,H:H,0)</f>
        <v>3.85377777777778</v>
      </c>
      <c r="W112" s="9" t="n">
        <f aca="false">IF(P112=1,MAX(0,V112-G112),0)</f>
        <v>0</v>
      </c>
    </row>
    <row r="113" customFormat="false" ht="15" hidden="false" customHeight="false" outlineLevel="0" collapsed="false">
      <c r="A113" s="8" t="n">
        <v>46194</v>
      </c>
      <c r="B113" s="9" t="n">
        <v>7</v>
      </c>
      <c r="C113" s="9" t="str">
        <f aca="false">"Unit "&amp;B113</f>
        <v>Unit 7</v>
      </c>
      <c r="D113" s="9"/>
      <c r="E113" s="9" t="n">
        <v>195</v>
      </c>
      <c r="F113" s="9" t="n">
        <v>4.1</v>
      </c>
      <c r="G113" s="9" t="n">
        <v>3.84</v>
      </c>
      <c r="H113" s="9" t="n">
        <v>0</v>
      </c>
      <c r="I113" s="9"/>
      <c r="J113" s="9"/>
      <c r="K113" s="9"/>
      <c r="L113" s="9" t="n">
        <f aca="false">E113*24/1000</f>
        <v>4.68</v>
      </c>
      <c r="M113" s="10" t="n">
        <f aca="false">G113/L113</f>
        <v>0.820512820512821</v>
      </c>
      <c r="N113" s="9" t="n">
        <f aca="false">G113-F113</f>
        <v>-0.26</v>
      </c>
      <c r="O113" s="10" t="n">
        <f aca="false">IF(F113=0,"",G113/F113)</f>
        <v>0.936585365853659</v>
      </c>
      <c r="P113" s="9" t="n">
        <f aca="false">IF(H113&gt;0,1,0)</f>
        <v>0</v>
      </c>
      <c r="Q113" s="9" t="n">
        <f aca="false">IF(G113=0,1,0)</f>
        <v>0</v>
      </c>
      <c r="R113" s="9" t="str">
        <f aca="false">TEXT(A113,"mmm")</f>
        <v>Jun</v>
      </c>
      <c r="S113" s="9" t="n">
        <f aca="false">WEEKNUM(A113,2)</f>
        <v>25</v>
      </c>
      <c r="T113" s="9" t="str">
        <f aca="false">IF(A113&lt;DATE(2026,6,30),"1-Pre-outage",IF(A113&lt;DATE(2026,7,5),"2-Transition","3-Outage-heavy"))</f>
        <v>1-Pre-outage</v>
      </c>
      <c r="U113" s="9" t="str">
        <f aca="false">IF(K113="","",IF(ISNUMBER(SEARCH("TURBINE",K113)),"Turbine",IF(ISNUMBER(SEARCH("GENERATOR",K113)),"Generator",IF(ISNUMBER(SEARCH("BOILER",K113)),"Boiler",IF(ISNUMBER(SEARCH("AIR PREHEATER",K113)),"Auxiliary",IF(ISNUMBER(SEARCH("ELECTRICAL",K113)),"Electrical","Other"))))))</f>
        <v/>
      </c>
      <c r="V113" s="9" t="n">
        <f aca="false">AVERAGEIFS(G:G,B:B,B113,H:H,0)</f>
        <v>3.98375</v>
      </c>
      <c r="W113" s="9" t="n">
        <f aca="false">IF(P113=1,MAX(0,V113-G113),0)</f>
        <v>0</v>
      </c>
    </row>
    <row r="114" customFormat="false" ht="15" hidden="false" customHeight="false" outlineLevel="0" collapsed="false">
      <c r="A114" s="8" t="n">
        <v>46195</v>
      </c>
      <c r="B114" s="9" t="n">
        <v>1</v>
      </c>
      <c r="C114" s="9" t="str">
        <f aca="false">"Unit "&amp;B114</f>
        <v>Unit 1</v>
      </c>
      <c r="D114" s="9"/>
      <c r="E114" s="9" t="n">
        <v>110</v>
      </c>
      <c r="F114" s="9" t="n">
        <v>1.93</v>
      </c>
      <c r="G114" s="9" t="n">
        <v>1.56</v>
      </c>
      <c r="H114" s="9" t="n">
        <v>0</v>
      </c>
      <c r="I114" s="9"/>
      <c r="J114" s="9"/>
      <c r="K114" s="9"/>
      <c r="L114" s="9" t="n">
        <f aca="false">E114*24/1000</f>
        <v>2.64</v>
      </c>
      <c r="M114" s="10" t="n">
        <f aca="false">G114/L114</f>
        <v>0.590909090909091</v>
      </c>
      <c r="N114" s="9" t="n">
        <f aca="false">G114-F114</f>
        <v>-0.37</v>
      </c>
      <c r="O114" s="10" t="n">
        <f aca="false">IF(F114=0,"",G114/F114)</f>
        <v>0.808290155440415</v>
      </c>
      <c r="P114" s="9" t="n">
        <f aca="false">IF(H114&gt;0,1,0)</f>
        <v>0</v>
      </c>
      <c r="Q114" s="9" t="n">
        <f aca="false">IF(G114=0,1,0)</f>
        <v>0</v>
      </c>
      <c r="R114" s="9" t="str">
        <f aca="false">TEXT(A114,"mmm")</f>
        <v>Jun</v>
      </c>
      <c r="S114" s="9" t="n">
        <f aca="false">WEEKNUM(A114,2)</f>
        <v>26</v>
      </c>
      <c r="T114" s="9" t="str">
        <f aca="false">IF(A114&lt;DATE(2026,6,30),"1-Pre-outage",IF(A114&lt;DATE(2026,7,5),"2-Transition","3-Outage-heavy"))</f>
        <v>1-Pre-outage</v>
      </c>
      <c r="U114" s="9" t="str">
        <f aca="false">IF(K114="","",IF(ISNUMBER(SEARCH("TURBINE",K114)),"Turbine",IF(ISNUMBER(SEARCH("GENERATOR",K114)),"Generator",IF(ISNUMBER(SEARCH("BOILER",K114)),"Boiler",IF(ISNUMBER(SEARCH("AIR PREHEATER",K114)),"Auxiliary",IF(ISNUMBER(SEARCH("ELECTRICAL",K114)),"Electrical","Other"))))))</f>
        <v/>
      </c>
      <c r="V114" s="9" t="n">
        <f aca="false">AVERAGEIFS(G:G,B:B,B114,H:H,0)</f>
        <v>1.61181818181818</v>
      </c>
      <c r="W114" s="9" t="n">
        <f aca="false">IF(P114=1,MAX(0,V114-G114),0)</f>
        <v>0</v>
      </c>
    </row>
    <row r="115" customFormat="false" ht="15" hidden="false" customHeight="false" outlineLevel="0" collapsed="false">
      <c r="A115" s="8" t="n">
        <v>46195</v>
      </c>
      <c r="B115" s="9" t="n">
        <v>2</v>
      </c>
      <c r="C115" s="9" t="str">
        <f aca="false">"Unit "&amp;B115</f>
        <v>Unit 2</v>
      </c>
      <c r="D115" s="9"/>
      <c r="E115" s="9" t="n">
        <v>110</v>
      </c>
      <c r="F115" s="9" t="n">
        <v>1.93</v>
      </c>
      <c r="G115" s="9" t="n">
        <v>1.62</v>
      </c>
      <c r="H115" s="9" t="n">
        <v>0</v>
      </c>
      <c r="I115" s="9"/>
      <c r="J115" s="9"/>
      <c r="K115" s="9"/>
      <c r="L115" s="9" t="n">
        <f aca="false">E115*24/1000</f>
        <v>2.64</v>
      </c>
      <c r="M115" s="10" t="n">
        <f aca="false">G115/L115</f>
        <v>0.613636363636364</v>
      </c>
      <c r="N115" s="9" t="n">
        <f aca="false">G115-F115</f>
        <v>-0.31</v>
      </c>
      <c r="O115" s="10" t="n">
        <f aca="false">IF(F115=0,"",G115/F115)</f>
        <v>0.839378238341969</v>
      </c>
      <c r="P115" s="9" t="n">
        <f aca="false">IF(H115&gt;0,1,0)</f>
        <v>0</v>
      </c>
      <c r="Q115" s="9" t="n">
        <f aca="false">IF(G115=0,1,0)</f>
        <v>0</v>
      </c>
      <c r="R115" s="9" t="str">
        <f aca="false">TEXT(A115,"mmm")</f>
        <v>Jun</v>
      </c>
      <c r="S115" s="9" t="n">
        <f aca="false">WEEKNUM(A115,2)</f>
        <v>26</v>
      </c>
      <c r="T115" s="9" t="str">
        <f aca="false">IF(A115&lt;DATE(2026,6,30),"1-Pre-outage",IF(A115&lt;DATE(2026,7,5),"2-Transition","3-Outage-heavy"))</f>
        <v>1-Pre-outage</v>
      </c>
      <c r="U115" s="9" t="str">
        <f aca="false">IF(K115="","",IF(ISNUMBER(SEARCH("TURBINE",K115)),"Turbine",IF(ISNUMBER(SEARCH("GENERATOR",K115)),"Generator",IF(ISNUMBER(SEARCH("BOILER",K115)),"Boiler",IF(ISNUMBER(SEARCH("AIR PREHEATER",K115)),"Auxiliary",IF(ISNUMBER(SEARCH("ELECTRICAL",K115)),"Electrical","Other"))))))</f>
        <v/>
      </c>
      <c r="V115" s="9" t="n">
        <f aca="false">AVERAGEIFS(G:G,B:B,B115,H:H,0)</f>
        <v>1.67955555555556</v>
      </c>
      <c r="W115" s="9" t="n">
        <f aca="false">IF(P115=1,MAX(0,V115-G115),0)</f>
        <v>0</v>
      </c>
    </row>
    <row r="116" customFormat="false" ht="15" hidden="false" customHeight="false" outlineLevel="0" collapsed="false">
      <c r="A116" s="8" t="n">
        <v>46195</v>
      </c>
      <c r="B116" s="9" t="n">
        <v>3</v>
      </c>
      <c r="C116" s="9" t="str">
        <f aca="false">"Unit "&amp;B116</f>
        <v>Unit 3</v>
      </c>
      <c r="D116" s="9"/>
      <c r="E116" s="9" t="n">
        <v>210</v>
      </c>
      <c r="F116" s="9" t="n">
        <v>3.9</v>
      </c>
      <c r="G116" s="9" t="n">
        <v>3.67</v>
      </c>
      <c r="H116" s="9" t="n">
        <v>0</v>
      </c>
      <c r="I116" s="9"/>
      <c r="J116" s="9"/>
      <c r="K116" s="9"/>
      <c r="L116" s="9" t="n">
        <f aca="false">E116*24/1000</f>
        <v>5.04</v>
      </c>
      <c r="M116" s="10" t="n">
        <f aca="false">G116/L116</f>
        <v>0.728174603174603</v>
      </c>
      <c r="N116" s="9" t="n">
        <f aca="false">G116-F116</f>
        <v>-0.23</v>
      </c>
      <c r="O116" s="10" t="n">
        <f aca="false">IF(F116=0,"",G116/F116)</f>
        <v>0.941025641025641</v>
      </c>
      <c r="P116" s="9" t="n">
        <f aca="false">IF(H116&gt;0,1,0)</f>
        <v>0</v>
      </c>
      <c r="Q116" s="9" t="n">
        <f aca="false">IF(G116=0,1,0)</f>
        <v>0</v>
      </c>
      <c r="R116" s="9" t="str">
        <f aca="false">TEXT(A116,"mmm")</f>
        <v>Jun</v>
      </c>
      <c r="S116" s="9" t="n">
        <f aca="false">WEEKNUM(A116,2)</f>
        <v>26</v>
      </c>
      <c r="T116" s="9" t="str">
        <f aca="false">IF(A116&lt;DATE(2026,6,30),"1-Pre-outage",IF(A116&lt;DATE(2026,7,5),"2-Transition","3-Outage-heavy"))</f>
        <v>1-Pre-outage</v>
      </c>
      <c r="U116" s="9" t="str">
        <f aca="false">IF(K116="","",IF(ISNUMBER(SEARCH("TURBINE",K116)),"Turbine",IF(ISNUMBER(SEARCH("GENERATOR",K116)),"Generator",IF(ISNUMBER(SEARCH("BOILER",K116)),"Boiler",IF(ISNUMBER(SEARCH("AIR PREHEATER",K116)),"Auxiliary",IF(ISNUMBER(SEARCH("ELECTRICAL",K116)),"Electrical","Other"))))))</f>
        <v/>
      </c>
      <c r="V116" s="9" t="n">
        <f aca="false">AVERAGEIFS(G:G,B:B,B116,H:H,0)</f>
        <v>3.72697674418605</v>
      </c>
      <c r="W116" s="9" t="n">
        <f aca="false">IF(P116=1,MAX(0,V116-G116),0)</f>
        <v>0</v>
      </c>
    </row>
    <row r="117" customFormat="false" ht="15" hidden="false" customHeight="false" outlineLevel="0" collapsed="false">
      <c r="A117" s="8" t="n">
        <v>46195</v>
      </c>
      <c r="B117" s="9" t="n">
        <v>4</v>
      </c>
      <c r="C117" s="9" t="str">
        <f aca="false">"Unit "&amp;B117</f>
        <v>Unit 4</v>
      </c>
      <c r="D117" s="9"/>
      <c r="E117" s="9" t="n">
        <v>210</v>
      </c>
      <c r="F117" s="9" t="n">
        <v>0</v>
      </c>
      <c r="G117" s="9" t="n">
        <v>3.48</v>
      </c>
      <c r="H117" s="9" t="n">
        <v>0</v>
      </c>
      <c r="I117" s="9"/>
      <c r="J117" s="9"/>
      <c r="K117" s="9"/>
      <c r="L117" s="9" t="n">
        <f aca="false">E117*24/1000</f>
        <v>5.04</v>
      </c>
      <c r="M117" s="10" t="n">
        <f aca="false">G117/L117</f>
        <v>0.690476190476191</v>
      </c>
      <c r="N117" s="9" t="n">
        <f aca="false">G117-F117</f>
        <v>3.48</v>
      </c>
      <c r="O117" s="10" t="str">
        <f aca="false">IF(F117=0,"",G117/F117)</f>
        <v/>
      </c>
      <c r="P117" s="9" t="n">
        <f aca="false">IF(H117&gt;0,1,0)</f>
        <v>0</v>
      </c>
      <c r="Q117" s="9" t="n">
        <f aca="false">IF(G117=0,1,0)</f>
        <v>0</v>
      </c>
      <c r="R117" s="9" t="str">
        <f aca="false">TEXT(A117,"mmm")</f>
        <v>Jun</v>
      </c>
      <c r="S117" s="9" t="n">
        <f aca="false">WEEKNUM(A117,2)</f>
        <v>26</v>
      </c>
      <c r="T117" s="9" t="str">
        <f aca="false">IF(A117&lt;DATE(2026,6,30),"1-Pre-outage",IF(A117&lt;DATE(2026,7,5),"2-Transition","3-Outage-heavy"))</f>
        <v>1-Pre-outage</v>
      </c>
      <c r="U117" s="9" t="str">
        <f aca="false">IF(K117="","",IF(ISNUMBER(SEARCH("TURBINE",K117)),"Turbine",IF(ISNUMBER(SEARCH("GENERATOR",K117)),"Generator",IF(ISNUMBER(SEARCH("BOILER",K117)),"Boiler",IF(ISNUMBER(SEARCH("AIR PREHEATER",K117)),"Auxiliary",IF(ISNUMBER(SEARCH("ELECTRICAL",K117)),"Electrical","Other"))))))</f>
        <v/>
      </c>
      <c r="V117" s="9" t="n">
        <f aca="false">AVERAGEIFS(G:G,B:B,B117,H:H,0)</f>
        <v>3.53586206896552</v>
      </c>
      <c r="W117" s="9" t="n">
        <f aca="false">IF(P117=1,MAX(0,V117-G117),0)</f>
        <v>0</v>
      </c>
    </row>
    <row r="118" customFormat="false" ht="15" hidden="false" customHeight="false" outlineLevel="0" collapsed="false">
      <c r="A118" s="8" t="n">
        <v>46195</v>
      </c>
      <c r="B118" s="9" t="n">
        <v>5</v>
      </c>
      <c r="C118" s="9" t="str">
        <f aca="false">"Unit "&amp;B118</f>
        <v>Unit 5</v>
      </c>
      <c r="D118" s="9"/>
      <c r="E118" s="9" t="n">
        <v>210</v>
      </c>
      <c r="F118" s="9" t="n">
        <v>4</v>
      </c>
      <c r="G118" s="9" t="n">
        <v>3.83</v>
      </c>
      <c r="H118" s="9" t="n">
        <v>0</v>
      </c>
      <c r="I118" s="9"/>
      <c r="J118" s="9"/>
      <c r="K118" s="9"/>
      <c r="L118" s="9" t="n">
        <f aca="false">E118*24/1000</f>
        <v>5.04</v>
      </c>
      <c r="M118" s="10" t="n">
        <f aca="false">G118/L118</f>
        <v>0.759920634920635</v>
      </c>
      <c r="N118" s="9" t="n">
        <f aca="false">G118-F118</f>
        <v>-0.17</v>
      </c>
      <c r="O118" s="10" t="n">
        <f aca="false">IF(F118=0,"",G118/F118)</f>
        <v>0.9575</v>
      </c>
      <c r="P118" s="9" t="n">
        <f aca="false">IF(H118&gt;0,1,0)</f>
        <v>0</v>
      </c>
      <c r="Q118" s="9" t="n">
        <f aca="false">IF(G118=0,1,0)</f>
        <v>0</v>
      </c>
      <c r="R118" s="9" t="str">
        <f aca="false">TEXT(A118,"mmm")</f>
        <v>Jun</v>
      </c>
      <c r="S118" s="9" t="n">
        <f aca="false">WEEKNUM(A118,2)</f>
        <v>26</v>
      </c>
      <c r="T118" s="9" t="str">
        <f aca="false">IF(A118&lt;DATE(2026,6,30),"1-Pre-outage",IF(A118&lt;DATE(2026,7,5),"2-Transition","3-Outage-heavy"))</f>
        <v>1-Pre-outage</v>
      </c>
      <c r="U118" s="9" t="str">
        <f aca="false">IF(K118="","",IF(ISNUMBER(SEARCH("TURBINE",K118)),"Turbine",IF(ISNUMBER(SEARCH("GENERATOR",K118)),"Generator",IF(ISNUMBER(SEARCH("BOILER",K118)),"Boiler",IF(ISNUMBER(SEARCH("AIR PREHEATER",K118)),"Auxiliary",IF(ISNUMBER(SEARCH("ELECTRICAL",K118)),"Electrical","Other"))))))</f>
        <v/>
      </c>
      <c r="V118" s="9" t="n">
        <f aca="false">AVERAGEIFS(G:G,B:B,B118,H:H,0)</f>
        <v>3.98888888888889</v>
      </c>
      <c r="W118" s="9" t="n">
        <f aca="false">IF(P118=1,MAX(0,V118-G118),0)</f>
        <v>0</v>
      </c>
    </row>
    <row r="119" customFormat="false" ht="15" hidden="false" customHeight="false" outlineLevel="0" collapsed="false">
      <c r="A119" s="8" t="n">
        <v>46195</v>
      </c>
      <c r="B119" s="9" t="n">
        <v>6</v>
      </c>
      <c r="C119" s="9" t="str">
        <f aca="false">"Unit "&amp;B119</f>
        <v>Unit 6</v>
      </c>
      <c r="D119" s="9"/>
      <c r="E119" s="9" t="n">
        <v>195</v>
      </c>
      <c r="F119" s="9" t="n">
        <v>4.1</v>
      </c>
      <c r="G119" s="9" t="n">
        <v>3.86</v>
      </c>
      <c r="H119" s="9" t="n">
        <v>0</v>
      </c>
      <c r="I119" s="9"/>
      <c r="J119" s="9"/>
      <c r="K119" s="9"/>
      <c r="L119" s="9" t="n">
        <f aca="false">E119*24/1000</f>
        <v>4.68</v>
      </c>
      <c r="M119" s="10" t="n">
        <f aca="false">G119/L119</f>
        <v>0.824786324786325</v>
      </c>
      <c r="N119" s="9" t="n">
        <f aca="false">G119-F119</f>
        <v>-0.24</v>
      </c>
      <c r="O119" s="10" t="n">
        <f aca="false">IF(F119=0,"",G119/F119)</f>
        <v>0.941463414634146</v>
      </c>
      <c r="P119" s="9" t="n">
        <f aca="false">IF(H119&gt;0,1,0)</f>
        <v>0</v>
      </c>
      <c r="Q119" s="9" t="n">
        <f aca="false">IF(G119=0,1,0)</f>
        <v>0</v>
      </c>
      <c r="R119" s="9" t="str">
        <f aca="false">TEXT(A119,"mmm")</f>
        <v>Jun</v>
      </c>
      <c r="S119" s="9" t="n">
        <f aca="false">WEEKNUM(A119,2)</f>
        <v>26</v>
      </c>
      <c r="T119" s="9" t="str">
        <f aca="false">IF(A119&lt;DATE(2026,6,30),"1-Pre-outage",IF(A119&lt;DATE(2026,7,5),"2-Transition","3-Outage-heavy"))</f>
        <v>1-Pre-outage</v>
      </c>
      <c r="U119" s="9" t="str">
        <f aca="false">IF(K119="","",IF(ISNUMBER(SEARCH("TURBINE",K119)),"Turbine",IF(ISNUMBER(SEARCH("GENERATOR",K119)),"Generator",IF(ISNUMBER(SEARCH("BOILER",K119)),"Boiler",IF(ISNUMBER(SEARCH("AIR PREHEATER",K119)),"Auxiliary",IF(ISNUMBER(SEARCH("ELECTRICAL",K119)),"Electrical","Other"))))))</f>
        <v/>
      </c>
      <c r="V119" s="9" t="n">
        <f aca="false">AVERAGEIFS(G:G,B:B,B119,H:H,0)</f>
        <v>3.85377777777778</v>
      </c>
      <c r="W119" s="9" t="n">
        <f aca="false">IF(P119=1,MAX(0,V119-G119),0)</f>
        <v>0</v>
      </c>
    </row>
    <row r="120" customFormat="false" ht="15" hidden="false" customHeight="false" outlineLevel="0" collapsed="false">
      <c r="A120" s="8" t="n">
        <v>46195</v>
      </c>
      <c r="B120" s="9" t="n">
        <v>7</v>
      </c>
      <c r="C120" s="9" t="str">
        <f aca="false">"Unit "&amp;B120</f>
        <v>Unit 7</v>
      </c>
      <c r="D120" s="9"/>
      <c r="E120" s="9" t="n">
        <v>195</v>
      </c>
      <c r="F120" s="9" t="n">
        <v>4.1</v>
      </c>
      <c r="G120" s="9" t="n">
        <v>3.77</v>
      </c>
      <c r="H120" s="9" t="n">
        <v>0</v>
      </c>
      <c r="I120" s="9"/>
      <c r="J120" s="9"/>
      <c r="K120" s="9"/>
      <c r="L120" s="9" t="n">
        <f aca="false">E120*24/1000</f>
        <v>4.68</v>
      </c>
      <c r="M120" s="10" t="n">
        <f aca="false">G120/L120</f>
        <v>0.805555555555556</v>
      </c>
      <c r="N120" s="9" t="n">
        <f aca="false">G120-F120</f>
        <v>-0.33</v>
      </c>
      <c r="O120" s="10" t="n">
        <f aca="false">IF(F120=0,"",G120/F120)</f>
        <v>0.919512195121951</v>
      </c>
      <c r="P120" s="9" t="n">
        <f aca="false">IF(H120&gt;0,1,0)</f>
        <v>0</v>
      </c>
      <c r="Q120" s="9" t="n">
        <f aca="false">IF(G120=0,1,0)</f>
        <v>0</v>
      </c>
      <c r="R120" s="9" t="str">
        <f aca="false">TEXT(A120,"mmm")</f>
        <v>Jun</v>
      </c>
      <c r="S120" s="9" t="n">
        <f aca="false">WEEKNUM(A120,2)</f>
        <v>26</v>
      </c>
      <c r="T120" s="9" t="str">
        <f aca="false">IF(A120&lt;DATE(2026,6,30),"1-Pre-outage",IF(A120&lt;DATE(2026,7,5),"2-Transition","3-Outage-heavy"))</f>
        <v>1-Pre-outage</v>
      </c>
      <c r="U120" s="9" t="str">
        <f aca="false">IF(K120="","",IF(ISNUMBER(SEARCH("TURBINE",K120)),"Turbine",IF(ISNUMBER(SEARCH("GENERATOR",K120)),"Generator",IF(ISNUMBER(SEARCH("BOILER",K120)),"Boiler",IF(ISNUMBER(SEARCH("AIR PREHEATER",K120)),"Auxiliary",IF(ISNUMBER(SEARCH("ELECTRICAL",K120)),"Electrical","Other"))))))</f>
        <v/>
      </c>
      <c r="V120" s="9" t="n">
        <f aca="false">AVERAGEIFS(G:G,B:B,B120,H:H,0)</f>
        <v>3.98375</v>
      </c>
      <c r="W120" s="9" t="n">
        <f aca="false">IF(P120=1,MAX(0,V120-G120),0)</f>
        <v>0</v>
      </c>
    </row>
    <row r="121" customFormat="false" ht="15" hidden="false" customHeight="false" outlineLevel="0" collapsed="false">
      <c r="A121" s="8" t="n">
        <v>46196</v>
      </c>
      <c r="B121" s="9" t="n">
        <v>1</v>
      </c>
      <c r="C121" s="9" t="str">
        <f aca="false">"Unit "&amp;B121</f>
        <v>Unit 1</v>
      </c>
      <c r="D121" s="9"/>
      <c r="E121" s="9" t="n">
        <v>110</v>
      </c>
      <c r="F121" s="9" t="n">
        <v>1.93</v>
      </c>
      <c r="G121" s="9" t="n">
        <v>1.63</v>
      </c>
      <c r="H121" s="9" t="n">
        <v>0</v>
      </c>
      <c r="I121" s="9"/>
      <c r="J121" s="9"/>
      <c r="K121" s="9"/>
      <c r="L121" s="9" t="n">
        <f aca="false">E121*24/1000</f>
        <v>2.64</v>
      </c>
      <c r="M121" s="10" t="n">
        <f aca="false">G121/L121</f>
        <v>0.617424242424242</v>
      </c>
      <c r="N121" s="9" t="n">
        <f aca="false">G121-F121</f>
        <v>-0.3</v>
      </c>
      <c r="O121" s="10" t="n">
        <f aca="false">IF(F121=0,"",G121/F121)</f>
        <v>0.844559585492228</v>
      </c>
      <c r="P121" s="9" t="n">
        <f aca="false">IF(H121&gt;0,1,0)</f>
        <v>0</v>
      </c>
      <c r="Q121" s="9" t="n">
        <f aca="false">IF(G121=0,1,0)</f>
        <v>0</v>
      </c>
      <c r="R121" s="9" t="str">
        <f aca="false">TEXT(A121,"mmm")</f>
        <v>Jun</v>
      </c>
      <c r="S121" s="9" t="n">
        <f aca="false">WEEKNUM(A121,2)</f>
        <v>26</v>
      </c>
      <c r="T121" s="9" t="str">
        <f aca="false">IF(A121&lt;DATE(2026,6,30),"1-Pre-outage",IF(A121&lt;DATE(2026,7,5),"2-Transition","3-Outage-heavy"))</f>
        <v>1-Pre-outage</v>
      </c>
      <c r="U121" s="9" t="str">
        <f aca="false">IF(K121="","",IF(ISNUMBER(SEARCH("TURBINE",K121)),"Turbine",IF(ISNUMBER(SEARCH("GENERATOR",K121)),"Generator",IF(ISNUMBER(SEARCH("BOILER",K121)),"Boiler",IF(ISNUMBER(SEARCH("AIR PREHEATER",K121)),"Auxiliary",IF(ISNUMBER(SEARCH("ELECTRICAL",K121)),"Electrical","Other"))))))</f>
        <v/>
      </c>
      <c r="V121" s="9" t="n">
        <f aca="false">AVERAGEIFS(G:G,B:B,B121,H:H,0)</f>
        <v>1.61181818181818</v>
      </c>
      <c r="W121" s="9" t="n">
        <f aca="false">IF(P121=1,MAX(0,V121-G121),0)</f>
        <v>0</v>
      </c>
    </row>
    <row r="122" customFormat="false" ht="15" hidden="false" customHeight="false" outlineLevel="0" collapsed="false">
      <c r="A122" s="8" t="n">
        <v>46196</v>
      </c>
      <c r="B122" s="9" t="n">
        <v>2</v>
      </c>
      <c r="C122" s="9" t="str">
        <f aca="false">"Unit "&amp;B122</f>
        <v>Unit 2</v>
      </c>
      <c r="D122" s="9"/>
      <c r="E122" s="9" t="n">
        <v>110</v>
      </c>
      <c r="F122" s="9" t="n">
        <v>1.93</v>
      </c>
      <c r="G122" s="9" t="n">
        <v>1.67</v>
      </c>
      <c r="H122" s="9" t="n">
        <v>0</v>
      </c>
      <c r="I122" s="9"/>
      <c r="J122" s="9"/>
      <c r="K122" s="9"/>
      <c r="L122" s="9" t="n">
        <f aca="false">E122*24/1000</f>
        <v>2.64</v>
      </c>
      <c r="M122" s="10" t="n">
        <f aca="false">G122/L122</f>
        <v>0.632575757575758</v>
      </c>
      <c r="N122" s="9" t="n">
        <f aca="false">G122-F122</f>
        <v>-0.26</v>
      </c>
      <c r="O122" s="10" t="n">
        <f aca="false">IF(F122=0,"",G122/F122)</f>
        <v>0.865284974093264</v>
      </c>
      <c r="P122" s="9" t="n">
        <f aca="false">IF(H122&gt;0,1,0)</f>
        <v>0</v>
      </c>
      <c r="Q122" s="9" t="n">
        <f aca="false">IF(G122=0,1,0)</f>
        <v>0</v>
      </c>
      <c r="R122" s="9" t="str">
        <f aca="false">TEXT(A122,"mmm")</f>
        <v>Jun</v>
      </c>
      <c r="S122" s="9" t="n">
        <f aca="false">WEEKNUM(A122,2)</f>
        <v>26</v>
      </c>
      <c r="T122" s="9" t="str">
        <f aca="false">IF(A122&lt;DATE(2026,6,30),"1-Pre-outage",IF(A122&lt;DATE(2026,7,5),"2-Transition","3-Outage-heavy"))</f>
        <v>1-Pre-outage</v>
      </c>
      <c r="U122" s="9" t="str">
        <f aca="false">IF(K122="","",IF(ISNUMBER(SEARCH("TURBINE",K122)),"Turbine",IF(ISNUMBER(SEARCH("GENERATOR",K122)),"Generator",IF(ISNUMBER(SEARCH("BOILER",K122)),"Boiler",IF(ISNUMBER(SEARCH("AIR PREHEATER",K122)),"Auxiliary",IF(ISNUMBER(SEARCH("ELECTRICAL",K122)),"Electrical","Other"))))))</f>
        <v/>
      </c>
      <c r="V122" s="9" t="n">
        <f aca="false">AVERAGEIFS(G:G,B:B,B122,H:H,0)</f>
        <v>1.67955555555556</v>
      </c>
      <c r="W122" s="9" t="n">
        <f aca="false">IF(P122=1,MAX(0,V122-G122),0)</f>
        <v>0</v>
      </c>
    </row>
    <row r="123" customFormat="false" ht="15" hidden="false" customHeight="false" outlineLevel="0" collapsed="false">
      <c r="A123" s="8" t="n">
        <v>46196</v>
      </c>
      <c r="B123" s="9" t="n">
        <v>3</v>
      </c>
      <c r="C123" s="9" t="str">
        <f aca="false">"Unit "&amp;B123</f>
        <v>Unit 3</v>
      </c>
      <c r="D123" s="9"/>
      <c r="E123" s="9" t="n">
        <v>210</v>
      </c>
      <c r="F123" s="9" t="n">
        <v>3.9</v>
      </c>
      <c r="G123" s="9" t="n">
        <v>3.76</v>
      </c>
      <c r="H123" s="9" t="n">
        <v>0</v>
      </c>
      <c r="I123" s="9"/>
      <c r="J123" s="9"/>
      <c r="K123" s="9"/>
      <c r="L123" s="9" t="n">
        <f aca="false">E123*24/1000</f>
        <v>5.04</v>
      </c>
      <c r="M123" s="10" t="n">
        <f aca="false">G123/L123</f>
        <v>0.746031746031746</v>
      </c>
      <c r="N123" s="9" t="n">
        <f aca="false">G123-F123</f>
        <v>-0.14</v>
      </c>
      <c r="O123" s="10" t="n">
        <f aca="false">IF(F123=0,"",G123/F123)</f>
        <v>0.964102564102564</v>
      </c>
      <c r="P123" s="9" t="n">
        <f aca="false">IF(H123&gt;0,1,0)</f>
        <v>0</v>
      </c>
      <c r="Q123" s="9" t="n">
        <f aca="false">IF(G123=0,1,0)</f>
        <v>0</v>
      </c>
      <c r="R123" s="9" t="str">
        <f aca="false">TEXT(A123,"mmm")</f>
        <v>Jun</v>
      </c>
      <c r="S123" s="9" t="n">
        <f aca="false">WEEKNUM(A123,2)</f>
        <v>26</v>
      </c>
      <c r="T123" s="9" t="str">
        <f aca="false">IF(A123&lt;DATE(2026,6,30),"1-Pre-outage",IF(A123&lt;DATE(2026,7,5),"2-Transition","3-Outage-heavy"))</f>
        <v>1-Pre-outage</v>
      </c>
      <c r="U123" s="9" t="str">
        <f aca="false">IF(K123="","",IF(ISNUMBER(SEARCH("TURBINE",K123)),"Turbine",IF(ISNUMBER(SEARCH("GENERATOR",K123)),"Generator",IF(ISNUMBER(SEARCH("BOILER",K123)),"Boiler",IF(ISNUMBER(SEARCH("AIR PREHEATER",K123)),"Auxiliary",IF(ISNUMBER(SEARCH("ELECTRICAL",K123)),"Electrical","Other"))))))</f>
        <v/>
      </c>
      <c r="V123" s="9" t="n">
        <f aca="false">AVERAGEIFS(G:G,B:B,B123,H:H,0)</f>
        <v>3.72697674418605</v>
      </c>
      <c r="W123" s="9" t="n">
        <f aca="false">IF(P123=1,MAX(0,V123-G123),0)</f>
        <v>0</v>
      </c>
    </row>
    <row r="124" customFormat="false" ht="15" hidden="false" customHeight="false" outlineLevel="0" collapsed="false">
      <c r="A124" s="8" t="n">
        <v>46196</v>
      </c>
      <c r="B124" s="9" t="n">
        <v>4</v>
      </c>
      <c r="C124" s="9" t="str">
        <f aca="false">"Unit "&amp;B124</f>
        <v>Unit 4</v>
      </c>
      <c r="D124" s="9"/>
      <c r="E124" s="9" t="n">
        <v>210</v>
      </c>
      <c r="F124" s="9" t="n">
        <v>0</v>
      </c>
      <c r="G124" s="9" t="n">
        <v>3.56</v>
      </c>
      <c r="H124" s="9" t="n">
        <v>0</v>
      </c>
      <c r="I124" s="9"/>
      <c r="J124" s="9"/>
      <c r="K124" s="9"/>
      <c r="L124" s="9" t="n">
        <f aca="false">E124*24/1000</f>
        <v>5.04</v>
      </c>
      <c r="M124" s="10" t="n">
        <f aca="false">G124/L124</f>
        <v>0.706349206349206</v>
      </c>
      <c r="N124" s="9" t="n">
        <f aca="false">G124-F124</f>
        <v>3.56</v>
      </c>
      <c r="O124" s="10" t="str">
        <f aca="false">IF(F124=0,"",G124/F124)</f>
        <v/>
      </c>
      <c r="P124" s="9" t="n">
        <f aca="false">IF(H124&gt;0,1,0)</f>
        <v>0</v>
      </c>
      <c r="Q124" s="9" t="n">
        <f aca="false">IF(G124=0,1,0)</f>
        <v>0</v>
      </c>
      <c r="R124" s="9" t="str">
        <f aca="false">TEXT(A124,"mmm")</f>
        <v>Jun</v>
      </c>
      <c r="S124" s="9" t="n">
        <f aca="false">WEEKNUM(A124,2)</f>
        <v>26</v>
      </c>
      <c r="T124" s="9" t="str">
        <f aca="false">IF(A124&lt;DATE(2026,6,30),"1-Pre-outage",IF(A124&lt;DATE(2026,7,5),"2-Transition","3-Outage-heavy"))</f>
        <v>1-Pre-outage</v>
      </c>
      <c r="U124" s="9" t="str">
        <f aca="false">IF(K124="","",IF(ISNUMBER(SEARCH("TURBINE",K124)),"Turbine",IF(ISNUMBER(SEARCH("GENERATOR",K124)),"Generator",IF(ISNUMBER(SEARCH("BOILER",K124)),"Boiler",IF(ISNUMBER(SEARCH("AIR PREHEATER",K124)),"Auxiliary",IF(ISNUMBER(SEARCH("ELECTRICAL",K124)),"Electrical","Other"))))))</f>
        <v/>
      </c>
      <c r="V124" s="9" t="n">
        <f aca="false">AVERAGEIFS(G:G,B:B,B124,H:H,0)</f>
        <v>3.53586206896552</v>
      </c>
      <c r="W124" s="9" t="n">
        <f aca="false">IF(P124=1,MAX(0,V124-G124),0)</f>
        <v>0</v>
      </c>
    </row>
    <row r="125" customFormat="false" ht="15" hidden="false" customHeight="false" outlineLevel="0" collapsed="false">
      <c r="A125" s="8" t="n">
        <v>46196</v>
      </c>
      <c r="B125" s="9" t="n">
        <v>5</v>
      </c>
      <c r="C125" s="9" t="str">
        <f aca="false">"Unit "&amp;B125</f>
        <v>Unit 5</v>
      </c>
      <c r="D125" s="9"/>
      <c r="E125" s="9" t="n">
        <v>210</v>
      </c>
      <c r="F125" s="9" t="n">
        <v>4</v>
      </c>
      <c r="G125" s="9" t="n">
        <v>3.96</v>
      </c>
      <c r="H125" s="9" t="n">
        <v>0</v>
      </c>
      <c r="I125" s="9"/>
      <c r="J125" s="9"/>
      <c r="K125" s="9"/>
      <c r="L125" s="9" t="n">
        <f aca="false">E125*24/1000</f>
        <v>5.04</v>
      </c>
      <c r="M125" s="10" t="n">
        <f aca="false">G125/L125</f>
        <v>0.785714285714286</v>
      </c>
      <c r="N125" s="9" t="n">
        <f aca="false">G125-F125</f>
        <v>-0.04</v>
      </c>
      <c r="O125" s="10" t="n">
        <f aca="false">IF(F125=0,"",G125/F125)</f>
        <v>0.99</v>
      </c>
      <c r="P125" s="9" t="n">
        <f aca="false">IF(H125&gt;0,1,0)</f>
        <v>0</v>
      </c>
      <c r="Q125" s="9" t="n">
        <f aca="false">IF(G125=0,1,0)</f>
        <v>0</v>
      </c>
      <c r="R125" s="9" t="str">
        <f aca="false">TEXT(A125,"mmm")</f>
        <v>Jun</v>
      </c>
      <c r="S125" s="9" t="n">
        <f aca="false">WEEKNUM(A125,2)</f>
        <v>26</v>
      </c>
      <c r="T125" s="9" t="str">
        <f aca="false">IF(A125&lt;DATE(2026,6,30),"1-Pre-outage",IF(A125&lt;DATE(2026,7,5),"2-Transition","3-Outage-heavy"))</f>
        <v>1-Pre-outage</v>
      </c>
      <c r="U125" s="9" t="str">
        <f aca="false">IF(K125="","",IF(ISNUMBER(SEARCH("TURBINE",K125)),"Turbine",IF(ISNUMBER(SEARCH("GENERATOR",K125)),"Generator",IF(ISNUMBER(SEARCH("BOILER",K125)),"Boiler",IF(ISNUMBER(SEARCH("AIR PREHEATER",K125)),"Auxiliary",IF(ISNUMBER(SEARCH("ELECTRICAL",K125)),"Electrical","Other"))))))</f>
        <v/>
      </c>
      <c r="V125" s="9" t="n">
        <f aca="false">AVERAGEIFS(G:G,B:B,B125,H:H,0)</f>
        <v>3.98888888888889</v>
      </c>
      <c r="W125" s="9" t="n">
        <f aca="false">IF(P125=1,MAX(0,V125-G125),0)</f>
        <v>0</v>
      </c>
    </row>
    <row r="126" customFormat="false" ht="15" hidden="false" customHeight="false" outlineLevel="0" collapsed="false">
      <c r="A126" s="8" t="n">
        <v>46196</v>
      </c>
      <c r="B126" s="9" t="n">
        <v>6</v>
      </c>
      <c r="C126" s="9" t="str">
        <f aca="false">"Unit "&amp;B126</f>
        <v>Unit 6</v>
      </c>
      <c r="D126" s="9"/>
      <c r="E126" s="9" t="n">
        <v>195</v>
      </c>
      <c r="F126" s="9" t="n">
        <v>4.1</v>
      </c>
      <c r="G126" s="9" t="n">
        <v>3.85</v>
      </c>
      <c r="H126" s="9" t="n">
        <v>0</v>
      </c>
      <c r="I126" s="9"/>
      <c r="J126" s="9"/>
      <c r="K126" s="9"/>
      <c r="L126" s="9" t="n">
        <f aca="false">E126*24/1000</f>
        <v>4.68</v>
      </c>
      <c r="M126" s="10" t="n">
        <f aca="false">G126/L126</f>
        <v>0.822649572649573</v>
      </c>
      <c r="N126" s="9" t="n">
        <f aca="false">G126-F126</f>
        <v>-0.25</v>
      </c>
      <c r="O126" s="10" t="n">
        <f aca="false">IF(F126=0,"",G126/F126)</f>
        <v>0.939024390243903</v>
      </c>
      <c r="P126" s="9" t="n">
        <f aca="false">IF(H126&gt;0,1,0)</f>
        <v>0</v>
      </c>
      <c r="Q126" s="9" t="n">
        <f aca="false">IF(G126=0,1,0)</f>
        <v>0</v>
      </c>
      <c r="R126" s="9" t="str">
        <f aca="false">TEXT(A126,"mmm")</f>
        <v>Jun</v>
      </c>
      <c r="S126" s="9" t="n">
        <f aca="false">WEEKNUM(A126,2)</f>
        <v>26</v>
      </c>
      <c r="T126" s="9" t="str">
        <f aca="false">IF(A126&lt;DATE(2026,6,30),"1-Pre-outage",IF(A126&lt;DATE(2026,7,5),"2-Transition","3-Outage-heavy"))</f>
        <v>1-Pre-outage</v>
      </c>
      <c r="U126" s="9" t="str">
        <f aca="false">IF(K126="","",IF(ISNUMBER(SEARCH("TURBINE",K126)),"Turbine",IF(ISNUMBER(SEARCH("GENERATOR",K126)),"Generator",IF(ISNUMBER(SEARCH("BOILER",K126)),"Boiler",IF(ISNUMBER(SEARCH("AIR PREHEATER",K126)),"Auxiliary",IF(ISNUMBER(SEARCH("ELECTRICAL",K126)),"Electrical","Other"))))))</f>
        <v/>
      </c>
      <c r="V126" s="9" t="n">
        <f aca="false">AVERAGEIFS(G:G,B:B,B126,H:H,0)</f>
        <v>3.85377777777778</v>
      </c>
      <c r="W126" s="9" t="n">
        <f aca="false">IF(P126=1,MAX(0,V126-G126),0)</f>
        <v>0</v>
      </c>
    </row>
    <row r="127" customFormat="false" ht="15" hidden="false" customHeight="false" outlineLevel="0" collapsed="false">
      <c r="A127" s="8" t="n">
        <v>46196</v>
      </c>
      <c r="B127" s="9" t="n">
        <v>7</v>
      </c>
      <c r="C127" s="9" t="str">
        <f aca="false">"Unit "&amp;B127</f>
        <v>Unit 7</v>
      </c>
      <c r="D127" s="9"/>
      <c r="E127" s="9" t="n">
        <v>195</v>
      </c>
      <c r="F127" s="9" t="n">
        <v>4.1</v>
      </c>
      <c r="G127" s="9" t="n">
        <v>3.87</v>
      </c>
      <c r="H127" s="9" t="n">
        <v>0</v>
      </c>
      <c r="I127" s="9"/>
      <c r="J127" s="9"/>
      <c r="K127" s="9"/>
      <c r="L127" s="9" t="n">
        <f aca="false">E127*24/1000</f>
        <v>4.68</v>
      </c>
      <c r="M127" s="10" t="n">
        <f aca="false">G127/L127</f>
        <v>0.826923076923077</v>
      </c>
      <c r="N127" s="9" t="n">
        <f aca="false">G127-F127</f>
        <v>-0.23</v>
      </c>
      <c r="O127" s="10" t="n">
        <f aca="false">IF(F127=0,"",G127/F127)</f>
        <v>0.94390243902439</v>
      </c>
      <c r="P127" s="9" t="n">
        <f aca="false">IF(H127&gt;0,1,0)</f>
        <v>0</v>
      </c>
      <c r="Q127" s="9" t="n">
        <f aca="false">IF(G127=0,1,0)</f>
        <v>0</v>
      </c>
      <c r="R127" s="9" t="str">
        <f aca="false">TEXT(A127,"mmm")</f>
        <v>Jun</v>
      </c>
      <c r="S127" s="9" t="n">
        <f aca="false">WEEKNUM(A127,2)</f>
        <v>26</v>
      </c>
      <c r="T127" s="9" t="str">
        <f aca="false">IF(A127&lt;DATE(2026,6,30),"1-Pre-outage",IF(A127&lt;DATE(2026,7,5),"2-Transition","3-Outage-heavy"))</f>
        <v>1-Pre-outage</v>
      </c>
      <c r="U127" s="9" t="str">
        <f aca="false">IF(K127="","",IF(ISNUMBER(SEARCH("TURBINE",K127)),"Turbine",IF(ISNUMBER(SEARCH("GENERATOR",K127)),"Generator",IF(ISNUMBER(SEARCH("BOILER",K127)),"Boiler",IF(ISNUMBER(SEARCH("AIR PREHEATER",K127)),"Auxiliary",IF(ISNUMBER(SEARCH("ELECTRICAL",K127)),"Electrical","Other"))))))</f>
        <v/>
      </c>
      <c r="V127" s="9" t="n">
        <f aca="false">AVERAGEIFS(G:G,B:B,B127,H:H,0)</f>
        <v>3.98375</v>
      </c>
      <c r="W127" s="9" t="n">
        <f aca="false">IF(P127=1,MAX(0,V127-G127),0)</f>
        <v>0</v>
      </c>
    </row>
    <row r="128" customFormat="false" ht="15" hidden="false" customHeight="false" outlineLevel="0" collapsed="false">
      <c r="A128" s="8" t="n">
        <v>46197</v>
      </c>
      <c r="B128" s="9" t="n">
        <v>1</v>
      </c>
      <c r="C128" s="9" t="str">
        <f aca="false">"Unit "&amp;B128</f>
        <v>Unit 1</v>
      </c>
      <c r="D128" s="9"/>
      <c r="E128" s="9" t="n">
        <v>110</v>
      </c>
      <c r="F128" s="9" t="n">
        <v>1.93</v>
      </c>
      <c r="G128" s="9" t="n">
        <v>1.58</v>
      </c>
      <c r="H128" s="9" t="n">
        <v>0</v>
      </c>
      <c r="I128" s="9"/>
      <c r="J128" s="9"/>
      <c r="K128" s="9"/>
      <c r="L128" s="9" t="n">
        <f aca="false">E128*24/1000</f>
        <v>2.64</v>
      </c>
      <c r="M128" s="10" t="n">
        <f aca="false">G128/L128</f>
        <v>0.598484848484849</v>
      </c>
      <c r="N128" s="9" t="n">
        <f aca="false">G128-F128</f>
        <v>-0.35</v>
      </c>
      <c r="O128" s="10" t="n">
        <f aca="false">IF(F128=0,"",G128/F128)</f>
        <v>0.818652849740933</v>
      </c>
      <c r="P128" s="9" t="n">
        <f aca="false">IF(H128&gt;0,1,0)</f>
        <v>0</v>
      </c>
      <c r="Q128" s="9" t="n">
        <f aca="false">IF(G128=0,1,0)</f>
        <v>0</v>
      </c>
      <c r="R128" s="9" t="str">
        <f aca="false">TEXT(A128,"mmm")</f>
        <v>Jun</v>
      </c>
      <c r="S128" s="9" t="n">
        <f aca="false">WEEKNUM(A128,2)</f>
        <v>26</v>
      </c>
      <c r="T128" s="9" t="str">
        <f aca="false">IF(A128&lt;DATE(2026,6,30),"1-Pre-outage",IF(A128&lt;DATE(2026,7,5),"2-Transition","3-Outage-heavy"))</f>
        <v>1-Pre-outage</v>
      </c>
      <c r="U128" s="9" t="str">
        <f aca="false">IF(K128="","",IF(ISNUMBER(SEARCH("TURBINE",K128)),"Turbine",IF(ISNUMBER(SEARCH("GENERATOR",K128)),"Generator",IF(ISNUMBER(SEARCH("BOILER",K128)),"Boiler",IF(ISNUMBER(SEARCH("AIR PREHEATER",K128)),"Auxiliary",IF(ISNUMBER(SEARCH("ELECTRICAL",K128)),"Electrical","Other"))))))</f>
        <v/>
      </c>
      <c r="V128" s="9" t="n">
        <f aca="false">AVERAGEIFS(G:G,B:B,B128,H:H,0)</f>
        <v>1.61181818181818</v>
      </c>
      <c r="W128" s="9" t="n">
        <f aca="false">IF(P128=1,MAX(0,V128-G128),0)</f>
        <v>0</v>
      </c>
    </row>
    <row r="129" customFormat="false" ht="15" hidden="false" customHeight="false" outlineLevel="0" collapsed="false">
      <c r="A129" s="8" t="n">
        <v>46197</v>
      </c>
      <c r="B129" s="9" t="n">
        <v>2</v>
      </c>
      <c r="C129" s="9" t="str">
        <f aca="false">"Unit "&amp;B129</f>
        <v>Unit 2</v>
      </c>
      <c r="D129" s="9"/>
      <c r="E129" s="9" t="n">
        <v>110</v>
      </c>
      <c r="F129" s="9" t="n">
        <v>1.93</v>
      </c>
      <c r="G129" s="9" t="n">
        <v>1.61</v>
      </c>
      <c r="H129" s="9" t="n">
        <v>0</v>
      </c>
      <c r="I129" s="9"/>
      <c r="J129" s="9"/>
      <c r="K129" s="9"/>
      <c r="L129" s="9" t="n">
        <f aca="false">E129*24/1000</f>
        <v>2.64</v>
      </c>
      <c r="M129" s="10" t="n">
        <f aca="false">G129/L129</f>
        <v>0.609848484848485</v>
      </c>
      <c r="N129" s="9" t="n">
        <f aca="false">G129-F129</f>
        <v>-0.32</v>
      </c>
      <c r="O129" s="10" t="n">
        <f aca="false">IF(F129=0,"",G129/F129)</f>
        <v>0.83419689119171</v>
      </c>
      <c r="P129" s="9" t="n">
        <f aca="false">IF(H129&gt;0,1,0)</f>
        <v>0</v>
      </c>
      <c r="Q129" s="9" t="n">
        <f aca="false">IF(G129=0,1,0)</f>
        <v>0</v>
      </c>
      <c r="R129" s="9" t="str">
        <f aca="false">TEXT(A129,"mmm")</f>
        <v>Jun</v>
      </c>
      <c r="S129" s="9" t="n">
        <f aca="false">WEEKNUM(A129,2)</f>
        <v>26</v>
      </c>
      <c r="T129" s="9" t="str">
        <f aca="false">IF(A129&lt;DATE(2026,6,30),"1-Pre-outage",IF(A129&lt;DATE(2026,7,5),"2-Transition","3-Outage-heavy"))</f>
        <v>1-Pre-outage</v>
      </c>
      <c r="U129" s="9" t="str">
        <f aca="false">IF(K129="","",IF(ISNUMBER(SEARCH("TURBINE",K129)),"Turbine",IF(ISNUMBER(SEARCH("GENERATOR",K129)),"Generator",IF(ISNUMBER(SEARCH("BOILER",K129)),"Boiler",IF(ISNUMBER(SEARCH("AIR PREHEATER",K129)),"Auxiliary",IF(ISNUMBER(SEARCH("ELECTRICAL",K129)),"Electrical","Other"))))))</f>
        <v/>
      </c>
      <c r="V129" s="9" t="n">
        <f aca="false">AVERAGEIFS(G:G,B:B,B129,H:H,0)</f>
        <v>1.67955555555556</v>
      </c>
      <c r="W129" s="9" t="n">
        <f aca="false">IF(P129=1,MAX(0,V129-G129),0)</f>
        <v>0</v>
      </c>
    </row>
    <row r="130" customFormat="false" ht="15" hidden="false" customHeight="false" outlineLevel="0" collapsed="false">
      <c r="A130" s="8" t="n">
        <v>46197</v>
      </c>
      <c r="B130" s="9" t="n">
        <v>3</v>
      </c>
      <c r="C130" s="9" t="str">
        <f aca="false">"Unit "&amp;B130</f>
        <v>Unit 3</v>
      </c>
      <c r="D130" s="9"/>
      <c r="E130" s="9" t="n">
        <v>210</v>
      </c>
      <c r="F130" s="9" t="n">
        <v>3.9</v>
      </c>
      <c r="G130" s="9" t="n">
        <v>3.69</v>
      </c>
      <c r="H130" s="9" t="n">
        <v>0</v>
      </c>
      <c r="I130" s="9"/>
      <c r="J130" s="9"/>
      <c r="K130" s="9"/>
      <c r="L130" s="9" t="n">
        <f aca="false">E130*24/1000</f>
        <v>5.04</v>
      </c>
      <c r="M130" s="10" t="n">
        <f aca="false">G130/L130</f>
        <v>0.732142857142857</v>
      </c>
      <c r="N130" s="9" t="n">
        <f aca="false">G130-F130</f>
        <v>-0.21</v>
      </c>
      <c r="O130" s="10" t="n">
        <f aca="false">IF(F130=0,"",G130/F130)</f>
        <v>0.946153846153846</v>
      </c>
      <c r="P130" s="9" t="n">
        <f aca="false">IF(H130&gt;0,1,0)</f>
        <v>0</v>
      </c>
      <c r="Q130" s="9" t="n">
        <f aca="false">IF(G130=0,1,0)</f>
        <v>0</v>
      </c>
      <c r="R130" s="9" t="str">
        <f aca="false">TEXT(A130,"mmm")</f>
        <v>Jun</v>
      </c>
      <c r="S130" s="9" t="n">
        <f aca="false">WEEKNUM(A130,2)</f>
        <v>26</v>
      </c>
      <c r="T130" s="9" t="str">
        <f aca="false">IF(A130&lt;DATE(2026,6,30),"1-Pre-outage",IF(A130&lt;DATE(2026,7,5),"2-Transition","3-Outage-heavy"))</f>
        <v>1-Pre-outage</v>
      </c>
      <c r="U130" s="9" t="str">
        <f aca="false">IF(K130="","",IF(ISNUMBER(SEARCH("TURBINE",K130)),"Turbine",IF(ISNUMBER(SEARCH("GENERATOR",K130)),"Generator",IF(ISNUMBER(SEARCH("BOILER",K130)),"Boiler",IF(ISNUMBER(SEARCH("AIR PREHEATER",K130)),"Auxiliary",IF(ISNUMBER(SEARCH("ELECTRICAL",K130)),"Electrical","Other"))))))</f>
        <v/>
      </c>
      <c r="V130" s="9" t="n">
        <f aca="false">AVERAGEIFS(G:G,B:B,B130,H:H,0)</f>
        <v>3.72697674418605</v>
      </c>
      <c r="W130" s="9" t="n">
        <f aca="false">IF(P130=1,MAX(0,V130-G130),0)</f>
        <v>0</v>
      </c>
    </row>
    <row r="131" customFormat="false" ht="15" hidden="false" customHeight="false" outlineLevel="0" collapsed="false">
      <c r="A131" s="8" t="n">
        <v>46197</v>
      </c>
      <c r="B131" s="9" t="n">
        <v>4</v>
      </c>
      <c r="C131" s="9" t="str">
        <f aca="false">"Unit "&amp;B131</f>
        <v>Unit 4</v>
      </c>
      <c r="D131" s="9"/>
      <c r="E131" s="9" t="n">
        <v>210</v>
      </c>
      <c r="F131" s="9" t="n">
        <v>0</v>
      </c>
      <c r="G131" s="9" t="n">
        <v>3.51</v>
      </c>
      <c r="H131" s="9" t="n">
        <v>0</v>
      </c>
      <c r="I131" s="9"/>
      <c r="J131" s="9"/>
      <c r="K131" s="9"/>
      <c r="L131" s="9" t="n">
        <f aca="false">E131*24/1000</f>
        <v>5.04</v>
      </c>
      <c r="M131" s="10" t="n">
        <f aca="false">G131/L131</f>
        <v>0.696428571428571</v>
      </c>
      <c r="N131" s="9" t="n">
        <f aca="false">G131-F131</f>
        <v>3.51</v>
      </c>
      <c r="O131" s="10" t="str">
        <f aca="false">IF(F131=0,"",G131/F131)</f>
        <v/>
      </c>
      <c r="P131" s="9" t="n">
        <f aca="false">IF(H131&gt;0,1,0)</f>
        <v>0</v>
      </c>
      <c r="Q131" s="9" t="n">
        <f aca="false">IF(G131=0,1,0)</f>
        <v>0</v>
      </c>
      <c r="R131" s="9" t="str">
        <f aca="false">TEXT(A131,"mmm")</f>
        <v>Jun</v>
      </c>
      <c r="S131" s="9" t="n">
        <f aca="false">WEEKNUM(A131,2)</f>
        <v>26</v>
      </c>
      <c r="T131" s="9" t="str">
        <f aca="false">IF(A131&lt;DATE(2026,6,30),"1-Pre-outage",IF(A131&lt;DATE(2026,7,5),"2-Transition","3-Outage-heavy"))</f>
        <v>1-Pre-outage</v>
      </c>
      <c r="U131" s="9" t="str">
        <f aca="false">IF(K131="","",IF(ISNUMBER(SEARCH("TURBINE",K131)),"Turbine",IF(ISNUMBER(SEARCH("GENERATOR",K131)),"Generator",IF(ISNUMBER(SEARCH("BOILER",K131)),"Boiler",IF(ISNUMBER(SEARCH("AIR PREHEATER",K131)),"Auxiliary",IF(ISNUMBER(SEARCH("ELECTRICAL",K131)),"Electrical","Other"))))))</f>
        <v/>
      </c>
      <c r="V131" s="9" t="n">
        <f aca="false">AVERAGEIFS(G:G,B:B,B131,H:H,0)</f>
        <v>3.53586206896552</v>
      </c>
      <c r="W131" s="9" t="n">
        <f aca="false">IF(P131=1,MAX(0,V131-G131),0)</f>
        <v>0</v>
      </c>
    </row>
    <row r="132" customFormat="false" ht="15" hidden="false" customHeight="false" outlineLevel="0" collapsed="false">
      <c r="A132" s="8" t="n">
        <v>46197</v>
      </c>
      <c r="B132" s="9" t="n">
        <v>5</v>
      </c>
      <c r="C132" s="9" t="str">
        <f aca="false">"Unit "&amp;B132</f>
        <v>Unit 5</v>
      </c>
      <c r="D132" s="9"/>
      <c r="E132" s="9" t="n">
        <v>210</v>
      </c>
      <c r="F132" s="9" t="n">
        <v>4</v>
      </c>
      <c r="G132" s="9" t="n">
        <v>3.86</v>
      </c>
      <c r="H132" s="9" t="n">
        <v>0</v>
      </c>
      <c r="I132" s="9"/>
      <c r="J132" s="9"/>
      <c r="K132" s="9"/>
      <c r="L132" s="9" t="n">
        <f aca="false">E132*24/1000</f>
        <v>5.04</v>
      </c>
      <c r="M132" s="10" t="n">
        <f aca="false">G132/L132</f>
        <v>0.765873015873016</v>
      </c>
      <c r="N132" s="9" t="n">
        <f aca="false">G132-F132</f>
        <v>-0.14</v>
      </c>
      <c r="O132" s="10" t="n">
        <f aca="false">IF(F132=0,"",G132/F132)</f>
        <v>0.965</v>
      </c>
      <c r="P132" s="9" t="n">
        <f aca="false">IF(H132&gt;0,1,0)</f>
        <v>0</v>
      </c>
      <c r="Q132" s="9" t="n">
        <f aca="false">IF(G132=0,1,0)</f>
        <v>0</v>
      </c>
      <c r="R132" s="9" t="str">
        <f aca="false">TEXT(A132,"mmm")</f>
        <v>Jun</v>
      </c>
      <c r="S132" s="9" t="n">
        <f aca="false">WEEKNUM(A132,2)</f>
        <v>26</v>
      </c>
      <c r="T132" s="9" t="str">
        <f aca="false">IF(A132&lt;DATE(2026,6,30),"1-Pre-outage",IF(A132&lt;DATE(2026,7,5),"2-Transition","3-Outage-heavy"))</f>
        <v>1-Pre-outage</v>
      </c>
      <c r="U132" s="9" t="str">
        <f aca="false">IF(K132="","",IF(ISNUMBER(SEARCH("TURBINE",K132)),"Turbine",IF(ISNUMBER(SEARCH("GENERATOR",K132)),"Generator",IF(ISNUMBER(SEARCH("BOILER",K132)),"Boiler",IF(ISNUMBER(SEARCH("AIR PREHEATER",K132)),"Auxiliary",IF(ISNUMBER(SEARCH("ELECTRICAL",K132)),"Electrical","Other"))))))</f>
        <v/>
      </c>
      <c r="V132" s="9" t="n">
        <f aca="false">AVERAGEIFS(G:G,B:B,B132,H:H,0)</f>
        <v>3.98888888888889</v>
      </c>
      <c r="W132" s="9" t="n">
        <f aca="false">IF(P132=1,MAX(0,V132-G132),0)</f>
        <v>0</v>
      </c>
    </row>
    <row r="133" customFormat="false" ht="15" hidden="false" customHeight="false" outlineLevel="0" collapsed="false">
      <c r="A133" s="8" t="n">
        <v>46197</v>
      </c>
      <c r="B133" s="9" t="n">
        <v>6</v>
      </c>
      <c r="C133" s="9" t="str">
        <f aca="false">"Unit "&amp;B133</f>
        <v>Unit 6</v>
      </c>
      <c r="D133" s="9"/>
      <c r="E133" s="9" t="n">
        <v>195</v>
      </c>
      <c r="F133" s="9" t="n">
        <v>4.1</v>
      </c>
      <c r="G133" s="9" t="n">
        <v>3.84</v>
      </c>
      <c r="H133" s="9" t="n">
        <v>0</v>
      </c>
      <c r="I133" s="9"/>
      <c r="J133" s="9"/>
      <c r="K133" s="9"/>
      <c r="L133" s="9" t="n">
        <f aca="false">E133*24/1000</f>
        <v>4.68</v>
      </c>
      <c r="M133" s="10" t="n">
        <f aca="false">G133/L133</f>
        <v>0.820512820512821</v>
      </c>
      <c r="N133" s="9" t="n">
        <f aca="false">G133-F133</f>
        <v>-0.26</v>
      </c>
      <c r="O133" s="10" t="n">
        <f aca="false">IF(F133=0,"",G133/F133)</f>
        <v>0.936585365853659</v>
      </c>
      <c r="P133" s="9" t="n">
        <f aca="false">IF(H133&gt;0,1,0)</f>
        <v>0</v>
      </c>
      <c r="Q133" s="9" t="n">
        <f aca="false">IF(G133=0,1,0)</f>
        <v>0</v>
      </c>
      <c r="R133" s="9" t="str">
        <f aca="false">TEXT(A133,"mmm")</f>
        <v>Jun</v>
      </c>
      <c r="S133" s="9" t="n">
        <f aca="false">WEEKNUM(A133,2)</f>
        <v>26</v>
      </c>
      <c r="T133" s="9" t="str">
        <f aca="false">IF(A133&lt;DATE(2026,6,30),"1-Pre-outage",IF(A133&lt;DATE(2026,7,5),"2-Transition","3-Outage-heavy"))</f>
        <v>1-Pre-outage</v>
      </c>
      <c r="U133" s="9" t="str">
        <f aca="false">IF(K133="","",IF(ISNUMBER(SEARCH("TURBINE",K133)),"Turbine",IF(ISNUMBER(SEARCH("GENERATOR",K133)),"Generator",IF(ISNUMBER(SEARCH("BOILER",K133)),"Boiler",IF(ISNUMBER(SEARCH("AIR PREHEATER",K133)),"Auxiliary",IF(ISNUMBER(SEARCH("ELECTRICAL",K133)),"Electrical","Other"))))))</f>
        <v/>
      </c>
      <c r="V133" s="9" t="n">
        <f aca="false">AVERAGEIFS(G:G,B:B,B133,H:H,0)</f>
        <v>3.85377777777778</v>
      </c>
      <c r="W133" s="9" t="n">
        <f aca="false">IF(P133=1,MAX(0,V133-G133),0)</f>
        <v>0</v>
      </c>
    </row>
    <row r="134" customFormat="false" ht="15" hidden="false" customHeight="false" outlineLevel="0" collapsed="false">
      <c r="A134" s="8" t="n">
        <v>46197</v>
      </c>
      <c r="B134" s="9" t="n">
        <v>7</v>
      </c>
      <c r="C134" s="9" t="str">
        <f aca="false">"Unit "&amp;B134</f>
        <v>Unit 7</v>
      </c>
      <c r="D134" s="9"/>
      <c r="E134" s="9" t="n">
        <v>195</v>
      </c>
      <c r="F134" s="9" t="n">
        <v>4.1</v>
      </c>
      <c r="G134" s="9" t="n">
        <v>3.93</v>
      </c>
      <c r="H134" s="9" t="n">
        <v>0</v>
      </c>
      <c r="I134" s="9"/>
      <c r="J134" s="9"/>
      <c r="K134" s="9"/>
      <c r="L134" s="9" t="n">
        <f aca="false">E134*24/1000</f>
        <v>4.68</v>
      </c>
      <c r="M134" s="10" t="n">
        <f aca="false">G134/L134</f>
        <v>0.83974358974359</v>
      </c>
      <c r="N134" s="9" t="n">
        <f aca="false">G134-F134</f>
        <v>-0.169999999999999</v>
      </c>
      <c r="O134" s="10" t="n">
        <f aca="false">IF(F134=0,"",G134/F134)</f>
        <v>0.958536585365854</v>
      </c>
      <c r="P134" s="9" t="n">
        <f aca="false">IF(H134&gt;0,1,0)</f>
        <v>0</v>
      </c>
      <c r="Q134" s="9" t="n">
        <f aca="false">IF(G134=0,1,0)</f>
        <v>0</v>
      </c>
      <c r="R134" s="9" t="str">
        <f aca="false">TEXT(A134,"mmm")</f>
        <v>Jun</v>
      </c>
      <c r="S134" s="9" t="n">
        <f aca="false">WEEKNUM(A134,2)</f>
        <v>26</v>
      </c>
      <c r="T134" s="9" t="str">
        <f aca="false">IF(A134&lt;DATE(2026,6,30),"1-Pre-outage",IF(A134&lt;DATE(2026,7,5),"2-Transition","3-Outage-heavy"))</f>
        <v>1-Pre-outage</v>
      </c>
      <c r="U134" s="9" t="str">
        <f aca="false">IF(K134="","",IF(ISNUMBER(SEARCH("TURBINE",K134)),"Turbine",IF(ISNUMBER(SEARCH("GENERATOR",K134)),"Generator",IF(ISNUMBER(SEARCH("BOILER",K134)),"Boiler",IF(ISNUMBER(SEARCH("AIR PREHEATER",K134)),"Auxiliary",IF(ISNUMBER(SEARCH("ELECTRICAL",K134)),"Electrical","Other"))))))</f>
        <v/>
      </c>
      <c r="V134" s="9" t="n">
        <f aca="false">AVERAGEIFS(G:G,B:B,B134,H:H,0)</f>
        <v>3.98375</v>
      </c>
      <c r="W134" s="9" t="n">
        <f aca="false">IF(P134=1,MAX(0,V134-G134),0)</f>
        <v>0</v>
      </c>
    </row>
    <row r="135" customFormat="false" ht="15" hidden="false" customHeight="false" outlineLevel="0" collapsed="false">
      <c r="A135" s="8" t="n">
        <v>46198</v>
      </c>
      <c r="B135" s="9" t="n">
        <v>1</v>
      </c>
      <c r="C135" s="9" t="str">
        <f aca="false">"Unit "&amp;B135</f>
        <v>Unit 1</v>
      </c>
      <c r="D135" s="9"/>
      <c r="E135" s="9" t="n">
        <v>110</v>
      </c>
      <c r="F135" s="9" t="n">
        <v>1.93</v>
      </c>
      <c r="G135" s="9" t="n">
        <v>1.6</v>
      </c>
      <c r="H135" s="9" t="n">
        <v>0</v>
      </c>
      <c r="I135" s="9"/>
      <c r="J135" s="9"/>
      <c r="K135" s="9"/>
      <c r="L135" s="9" t="n">
        <f aca="false">E135*24/1000</f>
        <v>2.64</v>
      </c>
      <c r="M135" s="10" t="n">
        <f aca="false">G135/L135</f>
        <v>0.606060606060606</v>
      </c>
      <c r="N135" s="9" t="n">
        <f aca="false">G135-F135</f>
        <v>-0.33</v>
      </c>
      <c r="O135" s="10" t="n">
        <f aca="false">IF(F135=0,"",G135/F135)</f>
        <v>0.829015544041451</v>
      </c>
      <c r="P135" s="9" t="n">
        <f aca="false">IF(H135&gt;0,1,0)</f>
        <v>0</v>
      </c>
      <c r="Q135" s="9" t="n">
        <f aca="false">IF(G135=0,1,0)</f>
        <v>0</v>
      </c>
      <c r="R135" s="9" t="str">
        <f aca="false">TEXT(A135,"mmm")</f>
        <v>Jun</v>
      </c>
      <c r="S135" s="9" t="n">
        <f aca="false">WEEKNUM(A135,2)</f>
        <v>26</v>
      </c>
      <c r="T135" s="9" t="str">
        <f aca="false">IF(A135&lt;DATE(2026,6,30),"1-Pre-outage",IF(A135&lt;DATE(2026,7,5),"2-Transition","3-Outage-heavy"))</f>
        <v>1-Pre-outage</v>
      </c>
      <c r="U135" s="9" t="str">
        <f aca="false">IF(K135="","",IF(ISNUMBER(SEARCH("TURBINE",K135)),"Turbine",IF(ISNUMBER(SEARCH("GENERATOR",K135)),"Generator",IF(ISNUMBER(SEARCH("BOILER",K135)),"Boiler",IF(ISNUMBER(SEARCH("AIR PREHEATER",K135)),"Auxiliary",IF(ISNUMBER(SEARCH("ELECTRICAL",K135)),"Electrical","Other"))))))</f>
        <v/>
      </c>
      <c r="V135" s="9" t="n">
        <f aca="false">AVERAGEIFS(G:G,B:B,B135,H:H,0)</f>
        <v>1.61181818181818</v>
      </c>
      <c r="W135" s="9" t="n">
        <f aca="false">IF(P135=1,MAX(0,V135-G135),0)</f>
        <v>0</v>
      </c>
    </row>
    <row r="136" customFormat="false" ht="15" hidden="false" customHeight="false" outlineLevel="0" collapsed="false">
      <c r="A136" s="8" t="n">
        <v>46198</v>
      </c>
      <c r="B136" s="9" t="n">
        <v>2</v>
      </c>
      <c r="C136" s="9" t="str">
        <f aca="false">"Unit "&amp;B136</f>
        <v>Unit 2</v>
      </c>
      <c r="D136" s="9"/>
      <c r="E136" s="9" t="n">
        <v>110</v>
      </c>
      <c r="F136" s="9" t="n">
        <v>1.93</v>
      </c>
      <c r="G136" s="9" t="n">
        <v>1.65</v>
      </c>
      <c r="H136" s="9" t="n">
        <v>0</v>
      </c>
      <c r="I136" s="9"/>
      <c r="J136" s="9"/>
      <c r="K136" s="9"/>
      <c r="L136" s="9" t="n">
        <f aca="false">E136*24/1000</f>
        <v>2.64</v>
      </c>
      <c r="M136" s="10" t="n">
        <f aca="false">G136/L136</f>
        <v>0.625</v>
      </c>
      <c r="N136" s="9" t="n">
        <f aca="false">G136-F136</f>
        <v>-0.28</v>
      </c>
      <c r="O136" s="10" t="n">
        <f aca="false">IF(F136=0,"",G136/F136)</f>
        <v>0.854922279792746</v>
      </c>
      <c r="P136" s="9" t="n">
        <f aca="false">IF(H136&gt;0,1,0)</f>
        <v>0</v>
      </c>
      <c r="Q136" s="9" t="n">
        <f aca="false">IF(G136=0,1,0)</f>
        <v>0</v>
      </c>
      <c r="R136" s="9" t="str">
        <f aca="false">TEXT(A136,"mmm")</f>
        <v>Jun</v>
      </c>
      <c r="S136" s="9" t="n">
        <f aca="false">WEEKNUM(A136,2)</f>
        <v>26</v>
      </c>
      <c r="T136" s="9" t="str">
        <f aca="false">IF(A136&lt;DATE(2026,6,30),"1-Pre-outage",IF(A136&lt;DATE(2026,7,5),"2-Transition","3-Outage-heavy"))</f>
        <v>1-Pre-outage</v>
      </c>
      <c r="U136" s="9" t="str">
        <f aca="false">IF(K136="","",IF(ISNUMBER(SEARCH("TURBINE",K136)),"Turbine",IF(ISNUMBER(SEARCH("GENERATOR",K136)),"Generator",IF(ISNUMBER(SEARCH("BOILER",K136)),"Boiler",IF(ISNUMBER(SEARCH("AIR PREHEATER",K136)),"Auxiliary",IF(ISNUMBER(SEARCH("ELECTRICAL",K136)),"Electrical","Other"))))))</f>
        <v/>
      </c>
      <c r="V136" s="9" t="n">
        <f aca="false">AVERAGEIFS(G:G,B:B,B136,H:H,0)</f>
        <v>1.67955555555556</v>
      </c>
      <c r="W136" s="9" t="n">
        <f aca="false">IF(P136=1,MAX(0,V136-G136),0)</f>
        <v>0</v>
      </c>
    </row>
    <row r="137" customFormat="false" ht="15" hidden="false" customHeight="false" outlineLevel="0" collapsed="false">
      <c r="A137" s="8" t="n">
        <v>46198</v>
      </c>
      <c r="B137" s="9" t="n">
        <v>3</v>
      </c>
      <c r="C137" s="9" t="str">
        <f aca="false">"Unit "&amp;B137</f>
        <v>Unit 3</v>
      </c>
      <c r="D137" s="9"/>
      <c r="E137" s="9" t="n">
        <v>210</v>
      </c>
      <c r="F137" s="9" t="n">
        <v>3.9</v>
      </c>
      <c r="G137" s="9" t="n">
        <v>3.89</v>
      </c>
      <c r="H137" s="9" t="n">
        <v>0</v>
      </c>
      <c r="I137" s="9"/>
      <c r="J137" s="9"/>
      <c r="K137" s="9"/>
      <c r="L137" s="9" t="n">
        <f aca="false">E137*24/1000</f>
        <v>5.04</v>
      </c>
      <c r="M137" s="10" t="n">
        <f aca="false">G137/L137</f>
        <v>0.771825396825397</v>
      </c>
      <c r="N137" s="9" t="n">
        <f aca="false">G137-F137</f>
        <v>-0.00999999999999979</v>
      </c>
      <c r="O137" s="10" t="n">
        <f aca="false">IF(F137=0,"",G137/F137)</f>
        <v>0.997435897435897</v>
      </c>
      <c r="P137" s="9" t="n">
        <f aca="false">IF(H137&gt;0,1,0)</f>
        <v>0</v>
      </c>
      <c r="Q137" s="9" t="n">
        <f aca="false">IF(G137=0,1,0)</f>
        <v>0</v>
      </c>
      <c r="R137" s="9" t="str">
        <f aca="false">TEXT(A137,"mmm")</f>
        <v>Jun</v>
      </c>
      <c r="S137" s="9" t="n">
        <f aca="false">WEEKNUM(A137,2)</f>
        <v>26</v>
      </c>
      <c r="T137" s="9" t="str">
        <f aca="false">IF(A137&lt;DATE(2026,6,30),"1-Pre-outage",IF(A137&lt;DATE(2026,7,5),"2-Transition","3-Outage-heavy"))</f>
        <v>1-Pre-outage</v>
      </c>
      <c r="U137" s="9" t="str">
        <f aca="false">IF(K137="","",IF(ISNUMBER(SEARCH("TURBINE",K137)),"Turbine",IF(ISNUMBER(SEARCH("GENERATOR",K137)),"Generator",IF(ISNUMBER(SEARCH("BOILER",K137)),"Boiler",IF(ISNUMBER(SEARCH("AIR PREHEATER",K137)),"Auxiliary",IF(ISNUMBER(SEARCH("ELECTRICAL",K137)),"Electrical","Other"))))))</f>
        <v/>
      </c>
      <c r="V137" s="9" t="n">
        <f aca="false">AVERAGEIFS(G:G,B:B,B137,H:H,0)</f>
        <v>3.72697674418605</v>
      </c>
      <c r="W137" s="9" t="n">
        <f aca="false">IF(P137=1,MAX(0,V137-G137),0)</f>
        <v>0</v>
      </c>
    </row>
    <row r="138" customFormat="false" ht="15" hidden="false" customHeight="false" outlineLevel="0" collapsed="false">
      <c r="A138" s="8" t="n">
        <v>46198</v>
      </c>
      <c r="B138" s="9" t="n">
        <v>4</v>
      </c>
      <c r="C138" s="9" t="str">
        <f aca="false">"Unit "&amp;B138</f>
        <v>Unit 4</v>
      </c>
      <c r="D138" s="9"/>
      <c r="E138" s="9" t="n">
        <v>210</v>
      </c>
      <c r="F138" s="9" t="n">
        <v>0</v>
      </c>
      <c r="G138" s="9" t="n">
        <v>3.52</v>
      </c>
      <c r="H138" s="9" t="n">
        <v>0</v>
      </c>
      <c r="I138" s="9"/>
      <c r="J138" s="9"/>
      <c r="K138" s="9"/>
      <c r="L138" s="9" t="n">
        <f aca="false">E138*24/1000</f>
        <v>5.04</v>
      </c>
      <c r="M138" s="10" t="n">
        <f aca="false">G138/L138</f>
        <v>0.698412698412698</v>
      </c>
      <c r="N138" s="9" t="n">
        <f aca="false">G138-F138</f>
        <v>3.52</v>
      </c>
      <c r="O138" s="10" t="str">
        <f aca="false">IF(F138=0,"",G138/F138)</f>
        <v/>
      </c>
      <c r="P138" s="9" t="n">
        <f aca="false">IF(H138&gt;0,1,0)</f>
        <v>0</v>
      </c>
      <c r="Q138" s="9" t="n">
        <f aca="false">IF(G138=0,1,0)</f>
        <v>0</v>
      </c>
      <c r="R138" s="9" t="str">
        <f aca="false">TEXT(A138,"mmm")</f>
        <v>Jun</v>
      </c>
      <c r="S138" s="9" t="n">
        <f aca="false">WEEKNUM(A138,2)</f>
        <v>26</v>
      </c>
      <c r="T138" s="9" t="str">
        <f aca="false">IF(A138&lt;DATE(2026,6,30),"1-Pre-outage",IF(A138&lt;DATE(2026,7,5),"2-Transition","3-Outage-heavy"))</f>
        <v>1-Pre-outage</v>
      </c>
      <c r="U138" s="9" t="str">
        <f aca="false">IF(K138="","",IF(ISNUMBER(SEARCH("TURBINE",K138)),"Turbine",IF(ISNUMBER(SEARCH("GENERATOR",K138)),"Generator",IF(ISNUMBER(SEARCH("BOILER",K138)),"Boiler",IF(ISNUMBER(SEARCH("AIR PREHEATER",K138)),"Auxiliary",IF(ISNUMBER(SEARCH("ELECTRICAL",K138)),"Electrical","Other"))))))</f>
        <v/>
      </c>
      <c r="V138" s="9" t="n">
        <f aca="false">AVERAGEIFS(G:G,B:B,B138,H:H,0)</f>
        <v>3.53586206896552</v>
      </c>
      <c r="W138" s="9" t="n">
        <f aca="false">IF(P138=1,MAX(0,V138-G138),0)</f>
        <v>0</v>
      </c>
    </row>
    <row r="139" customFormat="false" ht="15" hidden="false" customHeight="false" outlineLevel="0" collapsed="false">
      <c r="A139" s="8" t="n">
        <v>46198</v>
      </c>
      <c r="B139" s="9" t="n">
        <v>5</v>
      </c>
      <c r="C139" s="9" t="str">
        <f aca="false">"Unit "&amp;B139</f>
        <v>Unit 5</v>
      </c>
      <c r="D139" s="9"/>
      <c r="E139" s="9" t="n">
        <v>210</v>
      </c>
      <c r="F139" s="9" t="n">
        <v>4</v>
      </c>
      <c r="G139" s="9" t="n">
        <v>3.92</v>
      </c>
      <c r="H139" s="9" t="n">
        <v>0</v>
      </c>
      <c r="I139" s="9"/>
      <c r="J139" s="9"/>
      <c r="K139" s="9"/>
      <c r="L139" s="9" t="n">
        <f aca="false">E139*24/1000</f>
        <v>5.04</v>
      </c>
      <c r="M139" s="10" t="n">
        <f aca="false">G139/L139</f>
        <v>0.777777777777778</v>
      </c>
      <c r="N139" s="9" t="n">
        <f aca="false">G139-F139</f>
        <v>-0.0800000000000001</v>
      </c>
      <c r="O139" s="10" t="n">
        <f aca="false">IF(F139=0,"",G139/F139)</f>
        <v>0.98</v>
      </c>
      <c r="P139" s="9" t="n">
        <f aca="false">IF(H139&gt;0,1,0)</f>
        <v>0</v>
      </c>
      <c r="Q139" s="9" t="n">
        <f aca="false">IF(G139=0,1,0)</f>
        <v>0</v>
      </c>
      <c r="R139" s="9" t="str">
        <f aca="false">TEXT(A139,"mmm")</f>
        <v>Jun</v>
      </c>
      <c r="S139" s="9" t="n">
        <f aca="false">WEEKNUM(A139,2)</f>
        <v>26</v>
      </c>
      <c r="T139" s="9" t="str">
        <f aca="false">IF(A139&lt;DATE(2026,6,30),"1-Pre-outage",IF(A139&lt;DATE(2026,7,5),"2-Transition","3-Outage-heavy"))</f>
        <v>1-Pre-outage</v>
      </c>
      <c r="U139" s="9" t="str">
        <f aca="false">IF(K139="","",IF(ISNUMBER(SEARCH("TURBINE",K139)),"Turbine",IF(ISNUMBER(SEARCH("GENERATOR",K139)),"Generator",IF(ISNUMBER(SEARCH("BOILER",K139)),"Boiler",IF(ISNUMBER(SEARCH("AIR PREHEATER",K139)),"Auxiliary",IF(ISNUMBER(SEARCH("ELECTRICAL",K139)),"Electrical","Other"))))))</f>
        <v/>
      </c>
      <c r="V139" s="9" t="n">
        <f aca="false">AVERAGEIFS(G:G,B:B,B139,H:H,0)</f>
        <v>3.98888888888889</v>
      </c>
      <c r="W139" s="9" t="n">
        <f aca="false">IF(P139=1,MAX(0,V139-G139),0)</f>
        <v>0</v>
      </c>
    </row>
    <row r="140" customFormat="false" ht="15" hidden="false" customHeight="false" outlineLevel="0" collapsed="false">
      <c r="A140" s="8" t="n">
        <v>46198</v>
      </c>
      <c r="B140" s="9" t="n">
        <v>6</v>
      </c>
      <c r="C140" s="9" t="str">
        <f aca="false">"Unit "&amp;B140</f>
        <v>Unit 6</v>
      </c>
      <c r="D140" s="9"/>
      <c r="E140" s="9" t="n">
        <v>195</v>
      </c>
      <c r="F140" s="9" t="n">
        <v>4.1</v>
      </c>
      <c r="G140" s="9" t="n">
        <v>3.85</v>
      </c>
      <c r="H140" s="9" t="n">
        <v>0</v>
      </c>
      <c r="I140" s="9"/>
      <c r="J140" s="9"/>
      <c r="K140" s="9"/>
      <c r="L140" s="9" t="n">
        <f aca="false">E140*24/1000</f>
        <v>4.68</v>
      </c>
      <c r="M140" s="10" t="n">
        <f aca="false">G140/L140</f>
        <v>0.822649572649573</v>
      </c>
      <c r="N140" s="9" t="n">
        <f aca="false">G140-F140</f>
        <v>-0.25</v>
      </c>
      <c r="O140" s="10" t="n">
        <f aca="false">IF(F140=0,"",G140/F140)</f>
        <v>0.939024390243903</v>
      </c>
      <c r="P140" s="9" t="n">
        <f aca="false">IF(H140&gt;0,1,0)</f>
        <v>0</v>
      </c>
      <c r="Q140" s="9" t="n">
        <f aca="false">IF(G140=0,1,0)</f>
        <v>0</v>
      </c>
      <c r="R140" s="9" t="str">
        <f aca="false">TEXT(A140,"mmm")</f>
        <v>Jun</v>
      </c>
      <c r="S140" s="9" t="n">
        <f aca="false">WEEKNUM(A140,2)</f>
        <v>26</v>
      </c>
      <c r="T140" s="9" t="str">
        <f aca="false">IF(A140&lt;DATE(2026,6,30),"1-Pre-outage",IF(A140&lt;DATE(2026,7,5),"2-Transition","3-Outage-heavy"))</f>
        <v>1-Pre-outage</v>
      </c>
      <c r="U140" s="9" t="str">
        <f aca="false">IF(K140="","",IF(ISNUMBER(SEARCH("TURBINE",K140)),"Turbine",IF(ISNUMBER(SEARCH("GENERATOR",K140)),"Generator",IF(ISNUMBER(SEARCH("BOILER",K140)),"Boiler",IF(ISNUMBER(SEARCH("AIR PREHEATER",K140)),"Auxiliary",IF(ISNUMBER(SEARCH("ELECTRICAL",K140)),"Electrical","Other"))))))</f>
        <v/>
      </c>
      <c r="V140" s="9" t="n">
        <f aca="false">AVERAGEIFS(G:G,B:B,B140,H:H,0)</f>
        <v>3.85377777777778</v>
      </c>
      <c r="W140" s="9" t="n">
        <f aca="false">IF(P140=1,MAX(0,V140-G140),0)</f>
        <v>0</v>
      </c>
    </row>
    <row r="141" customFormat="false" ht="15" hidden="false" customHeight="false" outlineLevel="0" collapsed="false">
      <c r="A141" s="8" t="n">
        <v>46198</v>
      </c>
      <c r="B141" s="9" t="n">
        <v>7</v>
      </c>
      <c r="C141" s="9" t="str">
        <f aca="false">"Unit "&amp;B141</f>
        <v>Unit 7</v>
      </c>
      <c r="D141" s="9"/>
      <c r="E141" s="9" t="n">
        <v>195</v>
      </c>
      <c r="F141" s="9" t="n">
        <v>4.1</v>
      </c>
      <c r="G141" s="9" t="n">
        <v>3.92</v>
      </c>
      <c r="H141" s="9" t="n">
        <v>0</v>
      </c>
      <c r="I141" s="9"/>
      <c r="J141" s="9"/>
      <c r="K141" s="9"/>
      <c r="L141" s="9" t="n">
        <f aca="false">E141*24/1000</f>
        <v>4.68</v>
      </c>
      <c r="M141" s="10" t="n">
        <f aca="false">G141/L141</f>
        <v>0.837606837606838</v>
      </c>
      <c r="N141" s="9" t="n">
        <f aca="false">G141-F141</f>
        <v>-0.18</v>
      </c>
      <c r="O141" s="10" t="n">
        <f aca="false">IF(F141=0,"",G141/F141)</f>
        <v>0.95609756097561</v>
      </c>
      <c r="P141" s="9" t="n">
        <f aca="false">IF(H141&gt;0,1,0)</f>
        <v>0</v>
      </c>
      <c r="Q141" s="9" t="n">
        <f aca="false">IF(G141=0,1,0)</f>
        <v>0</v>
      </c>
      <c r="R141" s="9" t="str">
        <f aca="false">TEXT(A141,"mmm")</f>
        <v>Jun</v>
      </c>
      <c r="S141" s="9" t="n">
        <f aca="false">WEEKNUM(A141,2)</f>
        <v>26</v>
      </c>
      <c r="T141" s="9" t="str">
        <f aca="false">IF(A141&lt;DATE(2026,6,30),"1-Pre-outage",IF(A141&lt;DATE(2026,7,5),"2-Transition","3-Outage-heavy"))</f>
        <v>1-Pre-outage</v>
      </c>
      <c r="U141" s="9" t="str">
        <f aca="false">IF(K141="","",IF(ISNUMBER(SEARCH("TURBINE",K141)),"Turbine",IF(ISNUMBER(SEARCH("GENERATOR",K141)),"Generator",IF(ISNUMBER(SEARCH("BOILER",K141)),"Boiler",IF(ISNUMBER(SEARCH("AIR PREHEATER",K141)),"Auxiliary",IF(ISNUMBER(SEARCH("ELECTRICAL",K141)),"Electrical","Other"))))))</f>
        <v/>
      </c>
      <c r="V141" s="9" t="n">
        <f aca="false">AVERAGEIFS(G:G,B:B,B141,H:H,0)</f>
        <v>3.98375</v>
      </c>
      <c r="W141" s="9" t="n">
        <f aca="false">IF(P141=1,MAX(0,V141-G141),0)</f>
        <v>0</v>
      </c>
    </row>
    <row r="142" customFormat="false" ht="15" hidden="false" customHeight="false" outlineLevel="0" collapsed="false">
      <c r="A142" s="8" t="n">
        <v>46199</v>
      </c>
      <c r="B142" s="9" t="n">
        <v>1</v>
      </c>
      <c r="C142" s="9" t="str">
        <f aca="false">"Unit "&amp;B142</f>
        <v>Unit 1</v>
      </c>
      <c r="D142" s="9"/>
      <c r="E142" s="9" t="n">
        <v>110</v>
      </c>
      <c r="F142" s="9" t="n">
        <v>1.93</v>
      </c>
      <c r="G142" s="9" t="n">
        <v>1.63</v>
      </c>
      <c r="H142" s="9" t="n">
        <v>0</v>
      </c>
      <c r="I142" s="9"/>
      <c r="J142" s="9"/>
      <c r="K142" s="9"/>
      <c r="L142" s="9" t="n">
        <f aca="false">E142*24/1000</f>
        <v>2.64</v>
      </c>
      <c r="M142" s="10" t="n">
        <f aca="false">G142/L142</f>
        <v>0.617424242424242</v>
      </c>
      <c r="N142" s="9" t="n">
        <f aca="false">G142-F142</f>
        <v>-0.3</v>
      </c>
      <c r="O142" s="10" t="n">
        <f aca="false">IF(F142=0,"",G142/F142)</f>
        <v>0.844559585492228</v>
      </c>
      <c r="P142" s="9" t="n">
        <f aca="false">IF(H142&gt;0,1,0)</f>
        <v>0</v>
      </c>
      <c r="Q142" s="9" t="n">
        <f aca="false">IF(G142=0,1,0)</f>
        <v>0</v>
      </c>
      <c r="R142" s="9" t="str">
        <f aca="false">TEXT(A142,"mmm")</f>
        <v>Jun</v>
      </c>
      <c r="S142" s="9" t="n">
        <f aca="false">WEEKNUM(A142,2)</f>
        <v>26</v>
      </c>
      <c r="T142" s="9" t="str">
        <f aca="false">IF(A142&lt;DATE(2026,6,30),"1-Pre-outage",IF(A142&lt;DATE(2026,7,5),"2-Transition","3-Outage-heavy"))</f>
        <v>1-Pre-outage</v>
      </c>
      <c r="U142" s="9" t="str">
        <f aca="false">IF(K142="","",IF(ISNUMBER(SEARCH("TURBINE",K142)),"Turbine",IF(ISNUMBER(SEARCH("GENERATOR",K142)),"Generator",IF(ISNUMBER(SEARCH("BOILER",K142)),"Boiler",IF(ISNUMBER(SEARCH("AIR PREHEATER",K142)),"Auxiliary",IF(ISNUMBER(SEARCH("ELECTRICAL",K142)),"Electrical","Other"))))))</f>
        <v/>
      </c>
      <c r="V142" s="9" t="n">
        <f aca="false">AVERAGEIFS(G:G,B:B,B142,H:H,0)</f>
        <v>1.61181818181818</v>
      </c>
      <c r="W142" s="9" t="n">
        <f aca="false">IF(P142=1,MAX(0,V142-G142),0)</f>
        <v>0</v>
      </c>
    </row>
    <row r="143" customFormat="false" ht="15" hidden="false" customHeight="false" outlineLevel="0" collapsed="false">
      <c r="A143" s="8" t="n">
        <v>46199</v>
      </c>
      <c r="B143" s="9" t="n">
        <v>2</v>
      </c>
      <c r="C143" s="9" t="str">
        <f aca="false">"Unit "&amp;B143</f>
        <v>Unit 2</v>
      </c>
      <c r="D143" s="9"/>
      <c r="E143" s="9" t="n">
        <v>110</v>
      </c>
      <c r="F143" s="9" t="n">
        <v>1.93</v>
      </c>
      <c r="G143" s="9" t="n">
        <v>1.76</v>
      </c>
      <c r="H143" s="9" t="n">
        <v>0</v>
      </c>
      <c r="I143" s="9"/>
      <c r="J143" s="9"/>
      <c r="K143" s="9"/>
      <c r="L143" s="9" t="n">
        <f aca="false">E143*24/1000</f>
        <v>2.64</v>
      </c>
      <c r="M143" s="10" t="n">
        <f aca="false">G143/L143</f>
        <v>0.666666666666667</v>
      </c>
      <c r="N143" s="9" t="n">
        <f aca="false">G143-F143</f>
        <v>-0.17</v>
      </c>
      <c r="O143" s="10" t="n">
        <f aca="false">IF(F143=0,"",G143/F143)</f>
        <v>0.911917098445596</v>
      </c>
      <c r="P143" s="9" t="n">
        <f aca="false">IF(H143&gt;0,1,0)</f>
        <v>0</v>
      </c>
      <c r="Q143" s="9" t="n">
        <f aca="false">IF(G143=0,1,0)</f>
        <v>0</v>
      </c>
      <c r="R143" s="9" t="str">
        <f aca="false">TEXT(A143,"mmm")</f>
        <v>Jun</v>
      </c>
      <c r="S143" s="9" t="n">
        <f aca="false">WEEKNUM(A143,2)</f>
        <v>26</v>
      </c>
      <c r="T143" s="9" t="str">
        <f aca="false">IF(A143&lt;DATE(2026,6,30),"1-Pre-outage",IF(A143&lt;DATE(2026,7,5),"2-Transition","3-Outage-heavy"))</f>
        <v>1-Pre-outage</v>
      </c>
      <c r="U143" s="9" t="str">
        <f aca="false">IF(K143="","",IF(ISNUMBER(SEARCH("TURBINE",K143)),"Turbine",IF(ISNUMBER(SEARCH("GENERATOR",K143)),"Generator",IF(ISNUMBER(SEARCH("BOILER",K143)),"Boiler",IF(ISNUMBER(SEARCH("AIR PREHEATER",K143)),"Auxiliary",IF(ISNUMBER(SEARCH("ELECTRICAL",K143)),"Electrical","Other"))))))</f>
        <v/>
      </c>
      <c r="V143" s="9" t="n">
        <f aca="false">AVERAGEIFS(G:G,B:B,B143,H:H,0)</f>
        <v>1.67955555555556</v>
      </c>
      <c r="W143" s="9" t="n">
        <f aca="false">IF(P143=1,MAX(0,V143-G143),0)</f>
        <v>0</v>
      </c>
    </row>
    <row r="144" customFormat="false" ht="15" hidden="false" customHeight="false" outlineLevel="0" collapsed="false">
      <c r="A144" s="8" t="n">
        <v>46199</v>
      </c>
      <c r="B144" s="9" t="n">
        <v>3</v>
      </c>
      <c r="C144" s="9" t="str">
        <f aca="false">"Unit "&amp;B144</f>
        <v>Unit 3</v>
      </c>
      <c r="D144" s="9"/>
      <c r="E144" s="9" t="n">
        <v>210</v>
      </c>
      <c r="F144" s="9" t="n">
        <v>3.9</v>
      </c>
      <c r="G144" s="9" t="n">
        <v>3.82</v>
      </c>
      <c r="H144" s="9" t="n">
        <v>0</v>
      </c>
      <c r="I144" s="9"/>
      <c r="J144" s="9"/>
      <c r="K144" s="9"/>
      <c r="L144" s="9" t="n">
        <f aca="false">E144*24/1000</f>
        <v>5.04</v>
      </c>
      <c r="M144" s="10" t="n">
        <f aca="false">G144/L144</f>
        <v>0.757936507936508</v>
      </c>
      <c r="N144" s="9" t="n">
        <f aca="false">G144-F144</f>
        <v>-0.0800000000000001</v>
      </c>
      <c r="O144" s="10" t="n">
        <f aca="false">IF(F144=0,"",G144/F144)</f>
        <v>0.979487179487179</v>
      </c>
      <c r="P144" s="9" t="n">
        <f aca="false">IF(H144&gt;0,1,0)</f>
        <v>0</v>
      </c>
      <c r="Q144" s="9" t="n">
        <f aca="false">IF(G144=0,1,0)</f>
        <v>0</v>
      </c>
      <c r="R144" s="9" t="str">
        <f aca="false">TEXT(A144,"mmm")</f>
        <v>Jun</v>
      </c>
      <c r="S144" s="9" t="n">
        <f aca="false">WEEKNUM(A144,2)</f>
        <v>26</v>
      </c>
      <c r="T144" s="9" t="str">
        <f aca="false">IF(A144&lt;DATE(2026,6,30),"1-Pre-outage",IF(A144&lt;DATE(2026,7,5),"2-Transition","3-Outage-heavy"))</f>
        <v>1-Pre-outage</v>
      </c>
      <c r="U144" s="9" t="str">
        <f aca="false">IF(K144="","",IF(ISNUMBER(SEARCH("TURBINE",K144)),"Turbine",IF(ISNUMBER(SEARCH("GENERATOR",K144)),"Generator",IF(ISNUMBER(SEARCH("BOILER",K144)),"Boiler",IF(ISNUMBER(SEARCH("AIR PREHEATER",K144)),"Auxiliary",IF(ISNUMBER(SEARCH("ELECTRICAL",K144)),"Electrical","Other"))))))</f>
        <v/>
      </c>
      <c r="V144" s="9" t="n">
        <f aca="false">AVERAGEIFS(G:G,B:B,B144,H:H,0)</f>
        <v>3.72697674418605</v>
      </c>
      <c r="W144" s="9" t="n">
        <f aca="false">IF(P144=1,MAX(0,V144-G144),0)</f>
        <v>0</v>
      </c>
    </row>
    <row r="145" customFormat="false" ht="15" hidden="false" customHeight="false" outlineLevel="0" collapsed="false">
      <c r="A145" s="8" t="n">
        <v>46199</v>
      </c>
      <c r="B145" s="9" t="n">
        <v>4</v>
      </c>
      <c r="C145" s="9" t="str">
        <f aca="false">"Unit "&amp;B145</f>
        <v>Unit 4</v>
      </c>
      <c r="D145" s="9"/>
      <c r="E145" s="9" t="n">
        <v>210</v>
      </c>
      <c r="F145" s="9" t="n">
        <v>0</v>
      </c>
      <c r="G145" s="9" t="n">
        <v>3.63</v>
      </c>
      <c r="H145" s="9" t="n">
        <v>0</v>
      </c>
      <c r="I145" s="9"/>
      <c r="J145" s="9"/>
      <c r="K145" s="9"/>
      <c r="L145" s="9" t="n">
        <f aca="false">E145*24/1000</f>
        <v>5.04</v>
      </c>
      <c r="M145" s="10" t="n">
        <f aca="false">G145/L145</f>
        <v>0.720238095238095</v>
      </c>
      <c r="N145" s="9" t="n">
        <f aca="false">G145-F145</f>
        <v>3.63</v>
      </c>
      <c r="O145" s="10" t="str">
        <f aca="false">IF(F145=0,"",G145/F145)</f>
        <v/>
      </c>
      <c r="P145" s="9" t="n">
        <f aca="false">IF(H145&gt;0,1,0)</f>
        <v>0</v>
      </c>
      <c r="Q145" s="9" t="n">
        <f aca="false">IF(G145=0,1,0)</f>
        <v>0</v>
      </c>
      <c r="R145" s="9" t="str">
        <f aca="false">TEXT(A145,"mmm")</f>
        <v>Jun</v>
      </c>
      <c r="S145" s="9" t="n">
        <f aca="false">WEEKNUM(A145,2)</f>
        <v>26</v>
      </c>
      <c r="T145" s="9" t="str">
        <f aca="false">IF(A145&lt;DATE(2026,6,30),"1-Pre-outage",IF(A145&lt;DATE(2026,7,5),"2-Transition","3-Outage-heavy"))</f>
        <v>1-Pre-outage</v>
      </c>
      <c r="U145" s="9" t="str">
        <f aca="false">IF(K145="","",IF(ISNUMBER(SEARCH("TURBINE",K145)),"Turbine",IF(ISNUMBER(SEARCH("GENERATOR",K145)),"Generator",IF(ISNUMBER(SEARCH("BOILER",K145)),"Boiler",IF(ISNUMBER(SEARCH("AIR PREHEATER",K145)),"Auxiliary",IF(ISNUMBER(SEARCH("ELECTRICAL",K145)),"Electrical","Other"))))))</f>
        <v/>
      </c>
      <c r="V145" s="9" t="n">
        <f aca="false">AVERAGEIFS(G:G,B:B,B145,H:H,0)</f>
        <v>3.53586206896552</v>
      </c>
      <c r="W145" s="9" t="n">
        <f aca="false">IF(P145=1,MAX(0,V145-G145),0)</f>
        <v>0</v>
      </c>
    </row>
    <row r="146" customFormat="false" ht="15" hidden="false" customHeight="false" outlineLevel="0" collapsed="false">
      <c r="A146" s="8" t="n">
        <v>46199</v>
      </c>
      <c r="B146" s="9" t="n">
        <v>5</v>
      </c>
      <c r="C146" s="9" t="str">
        <f aca="false">"Unit "&amp;B146</f>
        <v>Unit 5</v>
      </c>
      <c r="D146" s="9"/>
      <c r="E146" s="9" t="n">
        <v>210</v>
      </c>
      <c r="F146" s="9" t="n">
        <v>4</v>
      </c>
      <c r="G146" s="9" t="n">
        <v>4.13</v>
      </c>
      <c r="H146" s="9" t="n">
        <v>0</v>
      </c>
      <c r="I146" s="9"/>
      <c r="J146" s="9"/>
      <c r="K146" s="9"/>
      <c r="L146" s="9" t="n">
        <f aca="false">E146*24/1000</f>
        <v>5.04</v>
      </c>
      <c r="M146" s="10" t="n">
        <f aca="false">G146/L146</f>
        <v>0.819444444444444</v>
      </c>
      <c r="N146" s="9" t="n">
        <f aca="false">G146-F146</f>
        <v>0.13</v>
      </c>
      <c r="O146" s="10" t="n">
        <f aca="false">IF(F146=0,"",G146/F146)</f>
        <v>1.0325</v>
      </c>
      <c r="P146" s="9" t="n">
        <f aca="false">IF(H146&gt;0,1,0)</f>
        <v>0</v>
      </c>
      <c r="Q146" s="9" t="n">
        <f aca="false">IF(G146=0,1,0)</f>
        <v>0</v>
      </c>
      <c r="R146" s="9" t="str">
        <f aca="false">TEXT(A146,"mmm")</f>
        <v>Jun</v>
      </c>
      <c r="S146" s="9" t="n">
        <f aca="false">WEEKNUM(A146,2)</f>
        <v>26</v>
      </c>
      <c r="T146" s="9" t="str">
        <f aca="false">IF(A146&lt;DATE(2026,6,30),"1-Pre-outage",IF(A146&lt;DATE(2026,7,5),"2-Transition","3-Outage-heavy"))</f>
        <v>1-Pre-outage</v>
      </c>
      <c r="U146" s="9" t="str">
        <f aca="false">IF(K146="","",IF(ISNUMBER(SEARCH("TURBINE",K146)),"Turbine",IF(ISNUMBER(SEARCH("GENERATOR",K146)),"Generator",IF(ISNUMBER(SEARCH("BOILER",K146)),"Boiler",IF(ISNUMBER(SEARCH("AIR PREHEATER",K146)),"Auxiliary",IF(ISNUMBER(SEARCH("ELECTRICAL",K146)),"Electrical","Other"))))))</f>
        <v/>
      </c>
      <c r="V146" s="9" t="n">
        <f aca="false">AVERAGEIFS(G:G,B:B,B146,H:H,0)</f>
        <v>3.98888888888889</v>
      </c>
      <c r="W146" s="9" t="n">
        <f aca="false">IF(P146=1,MAX(0,V146-G146),0)</f>
        <v>0</v>
      </c>
    </row>
    <row r="147" customFormat="false" ht="15" hidden="false" customHeight="false" outlineLevel="0" collapsed="false">
      <c r="A147" s="8" t="n">
        <v>46199</v>
      </c>
      <c r="B147" s="9" t="n">
        <v>6</v>
      </c>
      <c r="C147" s="9" t="str">
        <f aca="false">"Unit "&amp;B147</f>
        <v>Unit 6</v>
      </c>
      <c r="D147" s="9"/>
      <c r="E147" s="9" t="n">
        <v>195</v>
      </c>
      <c r="F147" s="9" t="n">
        <v>4.1</v>
      </c>
      <c r="G147" s="9" t="n">
        <v>3.84</v>
      </c>
      <c r="H147" s="9" t="n">
        <v>0</v>
      </c>
      <c r="I147" s="9"/>
      <c r="J147" s="9"/>
      <c r="K147" s="9"/>
      <c r="L147" s="9" t="n">
        <f aca="false">E147*24/1000</f>
        <v>4.68</v>
      </c>
      <c r="M147" s="10" t="n">
        <f aca="false">G147/L147</f>
        <v>0.820512820512821</v>
      </c>
      <c r="N147" s="9" t="n">
        <f aca="false">G147-F147</f>
        <v>-0.26</v>
      </c>
      <c r="O147" s="10" t="n">
        <f aca="false">IF(F147=0,"",G147/F147)</f>
        <v>0.936585365853659</v>
      </c>
      <c r="P147" s="9" t="n">
        <f aca="false">IF(H147&gt;0,1,0)</f>
        <v>0</v>
      </c>
      <c r="Q147" s="9" t="n">
        <f aca="false">IF(G147=0,1,0)</f>
        <v>0</v>
      </c>
      <c r="R147" s="9" t="str">
        <f aca="false">TEXT(A147,"mmm")</f>
        <v>Jun</v>
      </c>
      <c r="S147" s="9" t="n">
        <f aca="false">WEEKNUM(A147,2)</f>
        <v>26</v>
      </c>
      <c r="T147" s="9" t="str">
        <f aca="false">IF(A147&lt;DATE(2026,6,30),"1-Pre-outage",IF(A147&lt;DATE(2026,7,5),"2-Transition","3-Outage-heavy"))</f>
        <v>1-Pre-outage</v>
      </c>
      <c r="U147" s="9" t="str">
        <f aca="false">IF(K147="","",IF(ISNUMBER(SEARCH("TURBINE",K147)),"Turbine",IF(ISNUMBER(SEARCH("GENERATOR",K147)),"Generator",IF(ISNUMBER(SEARCH("BOILER",K147)),"Boiler",IF(ISNUMBER(SEARCH("AIR PREHEATER",K147)),"Auxiliary",IF(ISNUMBER(SEARCH("ELECTRICAL",K147)),"Electrical","Other"))))))</f>
        <v/>
      </c>
      <c r="V147" s="9" t="n">
        <f aca="false">AVERAGEIFS(G:G,B:B,B147,H:H,0)</f>
        <v>3.85377777777778</v>
      </c>
      <c r="W147" s="9" t="n">
        <f aca="false">IF(P147=1,MAX(0,V147-G147),0)</f>
        <v>0</v>
      </c>
    </row>
    <row r="148" customFormat="false" ht="15" hidden="false" customHeight="false" outlineLevel="0" collapsed="false">
      <c r="A148" s="8" t="n">
        <v>46199</v>
      </c>
      <c r="B148" s="9" t="n">
        <v>7</v>
      </c>
      <c r="C148" s="9" t="str">
        <f aca="false">"Unit "&amp;B148</f>
        <v>Unit 7</v>
      </c>
      <c r="D148" s="9"/>
      <c r="E148" s="9" t="n">
        <v>195</v>
      </c>
      <c r="F148" s="9" t="n">
        <v>4.1</v>
      </c>
      <c r="G148" s="9" t="n">
        <v>4.16</v>
      </c>
      <c r="H148" s="9" t="n">
        <v>0</v>
      </c>
      <c r="I148" s="9"/>
      <c r="J148" s="9"/>
      <c r="K148" s="9"/>
      <c r="L148" s="9" t="n">
        <f aca="false">E148*24/1000</f>
        <v>4.68</v>
      </c>
      <c r="M148" s="10" t="n">
        <f aca="false">G148/L148</f>
        <v>0.888888888888889</v>
      </c>
      <c r="N148" s="9" t="n">
        <f aca="false">G148-F148</f>
        <v>0.0600000000000005</v>
      </c>
      <c r="O148" s="10" t="n">
        <f aca="false">IF(F148=0,"",G148/F148)</f>
        <v>1.01463414634146</v>
      </c>
      <c r="P148" s="9" t="n">
        <f aca="false">IF(H148&gt;0,1,0)</f>
        <v>0</v>
      </c>
      <c r="Q148" s="9" t="n">
        <f aca="false">IF(G148=0,1,0)</f>
        <v>0</v>
      </c>
      <c r="R148" s="9" t="str">
        <f aca="false">TEXT(A148,"mmm")</f>
        <v>Jun</v>
      </c>
      <c r="S148" s="9" t="n">
        <f aca="false">WEEKNUM(A148,2)</f>
        <v>26</v>
      </c>
      <c r="T148" s="9" t="str">
        <f aca="false">IF(A148&lt;DATE(2026,6,30),"1-Pre-outage",IF(A148&lt;DATE(2026,7,5),"2-Transition","3-Outage-heavy"))</f>
        <v>1-Pre-outage</v>
      </c>
      <c r="U148" s="9" t="str">
        <f aca="false">IF(K148="","",IF(ISNUMBER(SEARCH("TURBINE",K148)),"Turbine",IF(ISNUMBER(SEARCH("GENERATOR",K148)),"Generator",IF(ISNUMBER(SEARCH("BOILER",K148)),"Boiler",IF(ISNUMBER(SEARCH("AIR PREHEATER",K148)),"Auxiliary",IF(ISNUMBER(SEARCH("ELECTRICAL",K148)),"Electrical","Other"))))))</f>
        <v/>
      </c>
      <c r="V148" s="9" t="n">
        <f aca="false">AVERAGEIFS(G:G,B:B,B148,H:H,0)</f>
        <v>3.98375</v>
      </c>
      <c r="W148" s="9" t="n">
        <f aca="false">IF(P148=1,MAX(0,V148-G148),0)</f>
        <v>0</v>
      </c>
    </row>
    <row r="149" customFormat="false" ht="15" hidden="false" customHeight="false" outlineLevel="0" collapsed="false">
      <c r="A149" s="8" t="n">
        <v>46200</v>
      </c>
      <c r="B149" s="9" t="n">
        <v>1</v>
      </c>
      <c r="C149" s="9" t="str">
        <f aca="false">"Unit "&amp;B149</f>
        <v>Unit 1</v>
      </c>
      <c r="D149" s="9"/>
      <c r="E149" s="9" t="n">
        <v>110</v>
      </c>
      <c r="F149" s="9" t="n">
        <v>1.93</v>
      </c>
      <c r="G149" s="9" t="n">
        <v>1.69</v>
      </c>
      <c r="H149" s="9" t="n">
        <v>0</v>
      </c>
      <c r="I149" s="9"/>
      <c r="J149" s="9"/>
      <c r="K149" s="9"/>
      <c r="L149" s="9" t="n">
        <f aca="false">E149*24/1000</f>
        <v>2.64</v>
      </c>
      <c r="M149" s="10" t="n">
        <f aca="false">G149/L149</f>
        <v>0.640151515151515</v>
      </c>
      <c r="N149" s="9" t="n">
        <f aca="false">G149-F149</f>
        <v>-0.24</v>
      </c>
      <c r="O149" s="10" t="n">
        <f aca="false">IF(F149=0,"",G149/F149)</f>
        <v>0.875647668393782</v>
      </c>
      <c r="P149" s="9" t="n">
        <f aca="false">IF(H149&gt;0,1,0)</f>
        <v>0</v>
      </c>
      <c r="Q149" s="9" t="n">
        <f aca="false">IF(G149=0,1,0)</f>
        <v>0</v>
      </c>
      <c r="R149" s="9" t="str">
        <f aca="false">TEXT(A149,"mmm")</f>
        <v>Jun</v>
      </c>
      <c r="S149" s="9" t="n">
        <f aca="false">WEEKNUM(A149,2)</f>
        <v>26</v>
      </c>
      <c r="T149" s="9" t="str">
        <f aca="false">IF(A149&lt;DATE(2026,6,30),"1-Pre-outage",IF(A149&lt;DATE(2026,7,5),"2-Transition","3-Outage-heavy"))</f>
        <v>1-Pre-outage</v>
      </c>
      <c r="U149" s="9" t="str">
        <f aca="false">IF(K149="","",IF(ISNUMBER(SEARCH("TURBINE",K149)),"Turbine",IF(ISNUMBER(SEARCH("GENERATOR",K149)),"Generator",IF(ISNUMBER(SEARCH("BOILER",K149)),"Boiler",IF(ISNUMBER(SEARCH("AIR PREHEATER",K149)),"Auxiliary",IF(ISNUMBER(SEARCH("ELECTRICAL",K149)),"Electrical","Other"))))))</f>
        <v/>
      </c>
      <c r="V149" s="9" t="n">
        <f aca="false">AVERAGEIFS(G:G,B:B,B149,H:H,0)</f>
        <v>1.61181818181818</v>
      </c>
      <c r="W149" s="9" t="n">
        <f aca="false">IF(P149=1,MAX(0,V149-G149),0)</f>
        <v>0</v>
      </c>
    </row>
    <row r="150" customFormat="false" ht="15" hidden="false" customHeight="false" outlineLevel="0" collapsed="false">
      <c r="A150" s="8" t="n">
        <v>46200</v>
      </c>
      <c r="B150" s="9" t="n">
        <v>2</v>
      </c>
      <c r="C150" s="9" t="str">
        <f aca="false">"Unit "&amp;B150</f>
        <v>Unit 2</v>
      </c>
      <c r="D150" s="9"/>
      <c r="E150" s="9" t="n">
        <v>110</v>
      </c>
      <c r="F150" s="9" t="n">
        <v>1.93</v>
      </c>
      <c r="G150" s="9" t="n">
        <v>1.75</v>
      </c>
      <c r="H150" s="9" t="n">
        <v>0</v>
      </c>
      <c r="I150" s="9"/>
      <c r="J150" s="9"/>
      <c r="K150" s="9"/>
      <c r="L150" s="9" t="n">
        <f aca="false">E150*24/1000</f>
        <v>2.64</v>
      </c>
      <c r="M150" s="10" t="n">
        <f aca="false">G150/L150</f>
        <v>0.662878787878788</v>
      </c>
      <c r="N150" s="9" t="n">
        <f aca="false">G150-F150</f>
        <v>-0.18</v>
      </c>
      <c r="O150" s="10" t="n">
        <f aca="false">IF(F150=0,"",G150/F150)</f>
        <v>0.906735751295337</v>
      </c>
      <c r="P150" s="9" t="n">
        <f aca="false">IF(H150&gt;0,1,0)</f>
        <v>0</v>
      </c>
      <c r="Q150" s="9" t="n">
        <f aca="false">IF(G150=0,1,0)</f>
        <v>0</v>
      </c>
      <c r="R150" s="9" t="str">
        <f aca="false">TEXT(A150,"mmm")</f>
        <v>Jun</v>
      </c>
      <c r="S150" s="9" t="n">
        <f aca="false">WEEKNUM(A150,2)</f>
        <v>26</v>
      </c>
      <c r="T150" s="9" t="str">
        <f aca="false">IF(A150&lt;DATE(2026,6,30),"1-Pre-outage",IF(A150&lt;DATE(2026,7,5),"2-Transition","3-Outage-heavy"))</f>
        <v>1-Pre-outage</v>
      </c>
      <c r="U150" s="9" t="str">
        <f aca="false">IF(K150="","",IF(ISNUMBER(SEARCH("TURBINE",K150)),"Turbine",IF(ISNUMBER(SEARCH("GENERATOR",K150)),"Generator",IF(ISNUMBER(SEARCH("BOILER",K150)),"Boiler",IF(ISNUMBER(SEARCH("AIR PREHEATER",K150)),"Auxiliary",IF(ISNUMBER(SEARCH("ELECTRICAL",K150)),"Electrical","Other"))))))</f>
        <v/>
      </c>
      <c r="V150" s="9" t="n">
        <f aca="false">AVERAGEIFS(G:G,B:B,B150,H:H,0)</f>
        <v>1.67955555555556</v>
      </c>
      <c r="W150" s="9" t="n">
        <f aca="false">IF(P150=1,MAX(0,V150-G150),0)</f>
        <v>0</v>
      </c>
    </row>
    <row r="151" customFormat="false" ht="15" hidden="false" customHeight="false" outlineLevel="0" collapsed="false">
      <c r="A151" s="8" t="n">
        <v>46200</v>
      </c>
      <c r="B151" s="9" t="n">
        <v>3</v>
      </c>
      <c r="C151" s="9" t="str">
        <f aca="false">"Unit "&amp;B151</f>
        <v>Unit 3</v>
      </c>
      <c r="D151" s="9"/>
      <c r="E151" s="9" t="n">
        <v>210</v>
      </c>
      <c r="F151" s="9" t="n">
        <v>3.9</v>
      </c>
      <c r="G151" s="9" t="n">
        <v>3.97</v>
      </c>
      <c r="H151" s="9" t="n">
        <v>0</v>
      </c>
      <c r="I151" s="9"/>
      <c r="J151" s="9"/>
      <c r="K151" s="9"/>
      <c r="L151" s="9" t="n">
        <f aca="false">E151*24/1000</f>
        <v>5.04</v>
      </c>
      <c r="M151" s="10" t="n">
        <f aca="false">G151/L151</f>
        <v>0.787698412698413</v>
      </c>
      <c r="N151" s="9" t="n">
        <f aca="false">G151-F151</f>
        <v>0.0700000000000003</v>
      </c>
      <c r="O151" s="10" t="n">
        <f aca="false">IF(F151=0,"",G151/F151)</f>
        <v>1.01794871794872</v>
      </c>
      <c r="P151" s="9" t="n">
        <f aca="false">IF(H151&gt;0,1,0)</f>
        <v>0</v>
      </c>
      <c r="Q151" s="9" t="n">
        <f aca="false">IF(G151=0,1,0)</f>
        <v>0</v>
      </c>
      <c r="R151" s="9" t="str">
        <f aca="false">TEXT(A151,"mmm")</f>
        <v>Jun</v>
      </c>
      <c r="S151" s="9" t="n">
        <f aca="false">WEEKNUM(A151,2)</f>
        <v>26</v>
      </c>
      <c r="T151" s="9" t="str">
        <f aca="false">IF(A151&lt;DATE(2026,6,30),"1-Pre-outage",IF(A151&lt;DATE(2026,7,5),"2-Transition","3-Outage-heavy"))</f>
        <v>1-Pre-outage</v>
      </c>
      <c r="U151" s="9" t="str">
        <f aca="false">IF(K151="","",IF(ISNUMBER(SEARCH("TURBINE",K151)),"Turbine",IF(ISNUMBER(SEARCH("GENERATOR",K151)),"Generator",IF(ISNUMBER(SEARCH("BOILER",K151)),"Boiler",IF(ISNUMBER(SEARCH("AIR PREHEATER",K151)),"Auxiliary",IF(ISNUMBER(SEARCH("ELECTRICAL",K151)),"Electrical","Other"))))))</f>
        <v/>
      </c>
      <c r="V151" s="9" t="n">
        <f aca="false">AVERAGEIFS(G:G,B:B,B151,H:H,0)</f>
        <v>3.72697674418605</v>
      </c>
      <c r="W151" s="9" t="n">
        <f aca="false">IF(P151=1,MAX(0,V151-G151),0)</f>
        <v>0</v>
      </c>
    </row>
    <row r="152" customFormat="false" ht="15" hidden="false" customHeight="false" outlineLevel="0" collapsed="false">
      <c r="A152" s="8" t="n">
        <v>46200</v>
      </c>
      <c r="B152" s="9" t="n">
        <v>4</v>
      </c>
      <c r="C152" s="9" t="str">
        <f aca="false">"Unit "&amp;B152</f>
        <v>Unit 4</v>
      </c>
      <c r="D152" s="9"/>
      <c r="E152" s="9" t="n">
        <v>210</v>
      </c>
      <c r="F152" s="9" t="n">
        <v>0</v>
      </c>
      <c r="G152" s="9" t="n">
        <v>3.65</v>
      </c>
      <c r="H152" s="9" t="n">
        <v>0</v>
      </c>
      <c r="I152" s="9"/>
      <c r="J152" s="9"/>
      <c r="K152" s="9"/>
      <c r="L152" s="9" t="n">
        <f aca="false">E152*24/1000</f>
        <v>5.04</v>
      </c>
      <c r="M152" s="10" t="n">
        <f aca="false">G152/L152</f>
        <v>0.724206349206349</v>
      </c>
      <c r="N152" s="9" t="n">
        <f aca="false">G152-F152</f>
        <v>3.65</v>
      </c>
      <c r="O152" s="10" t="str">
        <f aca="false">IF(F152=0,"",G152/F152)</f>
        <v/>
      </c>
      <c r="P152" s="9" t="n">
        <f aca="false">IF(H152&gt;0,1,0)</f>
        <v>0</v>
      </c>
      <c r="Q152" s="9" t="n">
        <f aca="false">IF(G152=0,1,0)</f>
        <v>0</v>
      </c>
      <c r="R152" s="9" t="str">
        <f aca="false">TEXT(A152,"mmm")</f>
        <v>Jun</v>
      </c>
      <c r="S152" s="9" t="n">
        <f aca="false">WEEKNUM(A152,2)</f>
        <v>26</v>
      </c>
      <c r="T152" s="9" t="str">
        <f aca="false">IF(A152&lt;DATE(2026,6,30),"1-Pre-outage",IF(A152&lt;DATE(2026,7,5),"2-Transition","3-Outage-heavy"))</f>
        <v>1-Pre-outage</v>
      </c>
      <c r="U152" s="9" t="str">
        <f aca="false">IF(K152="","",IF(ISNUMBER(SEARCH("TURBINE",K152)),"Turbine",IF(ISNUMBER(SEARCH("GENERATOR",K152)),"Generator",IF(ISNUMBER(SEARCH("BOILER",K152)),"Boiler",IF(ISNUMBER(SEARCH("AIR PREHEATER",K152)),"Auxiliary",IF(ISNUMBER(SEARCH("ELECTRICAL",K152)),"Electrical","Other"))))))</f>
        <v/>
      </c>
      <c r="V152" s="9" t="n">
        <f aca="false">AVERAGEIFS(G:G,B:B,B152,H:H,0)</f>
        <v>3.53586206896552</v>
      </c>
      <c r="W152" s="9" t="n">
        <f aca="false">IF(P152=1,MAX(0,V152-G152),0)</f>
        <v>0</v>
      </c>
    </row>
    <row r="153" customFormat="false" ht="15" hidden="false" customHeight="false" outlineLevel="0" collapsed="false">
      <c r="A153" s="8" t="n">
        <v>46200</v>
      </c>
      <c r="B153" s="9" t="n">
        <v>5</v>
      </c>
      <c r="C153" s="9" t="str">
        <f aca="false">"Unit "&amp;B153</f>
        <v>Unit 5</v>
      </c>
      <c r="D153" s="9"/>
      <c r="E153" s="9" t="n">
        <v>210</v>
      </c>
      <c r="F153" s="9" t="n">
        <v>4</v>
      </c>
      <c r="G153" s="9" t="n">
        <v>4.29</v>
      </c>
      <c r="H153" s="9" t="n">
        <v>0</v>
      </c>
      <c r="I153" s="9"/>
      <c r="J153" s="9"/>
      <c r="K153" s="9"/>
      <c r="L153" s="9" t="n">
        <f aca="false">E153*24/1000</f>
        <v>5.04</v>
      </c>
      <c r="M153" s="10" t="n">
        <f aca="false">G153/L153</f>
        <v>0.851190476190476</v>
      </c>
      <c r="N153" s="9" t="n">
        <f aca="false">G153-F153</f>
        <v>0.29</v>
      </c>
      <c r="O153" s="10" t="n">
        <f aca="false">IF(F153=0,"",G153/F153)</f>
        <v>1.0725</v>
      </c>
      <c r="P153" s="9" t="n">
        <f aca="false">IF(H153&gt;0,1,0)</f>
        <v>0</v>
      </c>
      <c r="Q153" s="9" t="n">
        <f aca="false">IF(G153=0,1,0)</f>
        <v>0</v>
      </c>
      <c r="R153" s="9" t="str">
        <f aca="false">TEXT(A153,"mmm")</f>
        <v>Jun</v>
      </c>
      <c r="S153" s="9" t="n">
        <f aca="false">WEEKNUM(A153,2)</f>
        <v>26</v>
      </c>
      <c r="T153" s="9" t="str">
        <f aca="false">IF(A153&lt;DATE(2026,6,30),"1-Pre-outage",IF(A153&lt;DATE(2026,7,5),"2-Transition","3-Outage-heavy"))</f>
        <v>1-Pre-outage</v>
      </c>
      <c r="U153" s="9" t="str">
        <f aca="false">IF(K153="","",IF(ISNUMBER(SEARCH("TURBINE",K153)),"Turbine",IF(ISNUMBER(SEARCH("GENERATOR",K153)),"Generator",IF(ISNUMBER(SEARCH("BOILER",K153)),"Boiler",IF(ISNUMBER(SEARCH("AIR PREHEATER",K153)),"Auxiliary",IF(ISNUMBER(SEARCH("ELECTRICAL",K153)),"Electrical","Other"))))))</f>
        <v/>
      </c>
      <c r="V153" s="9" t="n">
        <f aca="false">AVERAGEIFS(G:G,B:B,B153,H:H,0)</f>
        <v>3.98888888888889</v>
      </c>
      <c r="W153" s="9" t="n">
        <f aca="false">IF(P153=1,MAX(0,V153-G153),0)</f>
        <v>0</v>
      </c>
    </row>
    <row r="154" customFormat="false" ht="15" hidden="false" customHeight="false" outlineLevel="0" collapsed="false">
      <c r="A154" s="8" t="n">
        <v>46200</v>
      </c>
      <c r="B154" s="9" t="n">
        <v>6</v>
      </c>
      <c r="C154" s="9" t="str">
        <f aca="false">"Unit "&amp;B154</f>
        <v>Unit 6</v>
      </c>
      <c r="D154" s="9"/>
      <c r="E154" s="9" t="n">
        <v>195</v>
      </c>
      <c r="F154" s="9" t="n">
        <v>4.1</v>
      </c>
      <c r="G154" s="9" t="n">
        <v>3.85</v>
      </c>
      <c r="H154" s="9" t="n">
        <v>0</v>
      </c>
      <c r="I154" s="9"/>
      <c r="J154" s="9"/>
      <c r="K154" s="9"/>
      <c r="L154" s="9" t="n">
        <f aca="false">E154*24/1000</f>
        <v>4.68</v>
      </c>
      <c r="M154" s="10" t="n">
        <f aca="false">G154/L154</f>
        <v>0.822649572649573</v>
      </c>
      <c r="N154" s="9" t="n">
        <f aca="false">G154-F154</f>
        <v>-0.25</v>
      </c>
      <c r="O154" s="10" t="n">
        <f aca="false">IF(F154=0,"",G154/F154)</f>
        <v>0.939024390243903</v>
      </c>
      <c r="P154" s="9" t="n">
        <f aca="false">IF(H154&gt;0,1,0)</f>
        <v>0</v>
      </c>
      <c r="Q154" s="9" t="n">
        <f aca="false">IF(G154=0,1,0)</f>
        <v>0</v>
      </c>
      <c r="R154" s="9" t="str">
        <f aca="false">TEXT(A154,"mmm")</f>
        <v>Jun</v>
      </c>
      <c r="S154" s="9" t="n">
        <f aca="false">WEEKNUM(A154,2)</f>
        <v>26</v>
      </c>
      <c r="T154" s="9" t="str">
        <f aca="false">IF(A154&lt;DATE(2026,6,30),"1-Pre-outage",IF(A154&lt;DATE(2026,7,5),"2-Transition","3-Outage-heavy"))</f>
        <v>1-Pre-outage</v>
      </c>
      <c r="U154" s="9" t="str">
        <f aca="false">IF(K154="","",IF(ISNUMBER(SEARCH("TURBINE",K154)),"Turbine",IF(ISNUMBER(SEARCH("GENERATOR",K154)),"Generator",IF(ISNUMBER(SEARCH("BOILER",K154)),"Boiler",IF(ISNUMBER(SEARCH("AIR PREHEATER",K154)),"Auxiliary",IF(ISNUMBER(SEARCH("ELECTRICAL",K154)),"Electrical","Other"))))))</f>
        <v/>
      </c>
      <c r="V154" s="9" t="n">
        <f aca="false">AVERAGEIFS(G:G,B:B,B154,H:H,0)</f>
        <v>3.85377777777778</v>
      </c>
      <c r="W154" s="9" t="n">
        <f aca="false">IF(P154=1,MAX(0,V154-G154),0)</f>
        <v>0</v>
      </c>
    </row>
    <row r="155" customFormat="false" ht="15" hidden="false" customHeight="false" outlineLevel="0" collapsed="false">
      <c r="A155" s="8" t="n">
        <v>46200</v>
      </c>
      <c r="B155" s="9" t="n">
        <v>7</v>
      </c>
      <c r="C155" s="9" t="str">
        <f aca="false">"Unit "&amp;B155</f>
        <v>Unit 7</v>
      </c>
      <c r="D155" s="9"/>
      <c r="E155" s="9" t="n">
        <v>195</v>
      </c>
      <c r="F155" s="9" t="n">
        <v>4.1</v>
      </c>
      <c r="G155" s="9" t="n">
        <v>4.28</v>
      </c>
      <c r="H155" s="9" t="n">
        <v>0</v>
      </c>
      <c r="I155" s="9"/>
      <c r="J155" s="9"/>
      <c r="K155" s="9"/>
      <c r="L155" s="9" t="n">
        <f aca="false">E155*24/1000</f>
        <v>4.68</v>
      </c>
      <c r="M155" s="10" t="n">
        <f aca="false">G155/L155</f>
        <v>0.914529914529915</v>
      </c>
      <c r="N155" s="9" t="n">
        <f aca="false">G155-F155</f>
        <v>0.180000000000001</v>
      </c>
      <c r="O155" s="10" t="n">
        <f aca="false">IF(F155=0,"",G155/F155)</f>
        <v>1.04390243902439</v>
      </c>
      <c r="P155" s="9" t="n">
        <f aca="false">IF(H155&gt;0,1,0)</f>
        <v>0</v>
      </c>
      <c r="Q155" s="9" t="n">
        <f aca="false">IF(G155=0,1,0)</f>
        <v>0</v>
      </c>
      <c r="R155" s="9" t="str">
        <f aca="false">TEXT(A155,"mmm")</f>
        <v>Jun</v>
      </c>
      <c r="S155" s="9" t="n">
        <f aca="false">WEEKNUM(A155,2)</f>
        <v>26</v>
      </c>
      <c r="T155" s="9" t="str">
        <f aca="false">IF(A155&lt;DATE(2026,6,30),"1-Pre-outage",IF(A155&lt;DATE(2026,7,5),"2-Transition","3-Outage-heavy"))</f>
        <v>1-Pre-outage</v>
      </c>
      <c r="U155" s="9" t="str">
        <f aca="false">IF(K155="","",IF(ISNUMBER(SEARCH("TURBINE",K155)),"Turbine",IF(ISNUMBER(SEARCH("GENERATOR",K155)),"Generator",IF(ISNUMBER(SEARCH("BOILER",K155)),"Boiler",IF(ISNUMBER(SEARCH("AIR PREHEATER",K155)),"Auxiliary",IF(ISNUMBER(SEARCH("ELECTRICAL",K155)),"Electrical","Other"))))))</f>
        <v/>
      </c>
      <c r="V155" s="9" t="n">
        <f aca="false">AVERAGEIFS(G:G,B:B,B155,H:H,0)</f>
        <v>3.98375</v>
      </c>
      <c r="W155" s="9" t="n">
        <f aca="false">IF(P155=1,MAX(0,V155-G155),0)</f>
        <v>0</v>
      </c>
    </row>
    <row r="156" customFormat="false" ht="15" hidden="false" customHeight="false" outlineLevel="0" collapsed="false">
      <c r="A156" s="8" t="n">
        <v>46201</v>
      </c>
      <c r="B156" s="9" t="n">
        <v>1</v>
      </c>
      <c r="C156" s="9" t="str">
        <f aca="false">"Unit "&amp;B156</f>
        <v>Unit 1</v>
      </c>
      <c r="D156" s="9"/>
      <c r="E156" s="9" t="n">
        <v>110</v>
      </c>
      <c r="F156" s="9" t="n">
        <v>1.93</v>
      </c>
      <c r="G156" s="9" t="n">
        <v>1.69</v>
      </c>
      <c r="H156" s="9" t="n">
        <v>0</v>
      </c>
      <c r="I156" s="9"/>
      <c r="J156" s="9"/>
      <c r="K156" s="9"/>
      <c r="L156" s="9" t="n">
        <f aca="false">E156*24/1000</f>
        <v>2.64</v>
      </c>
      <c r="M156" s="10" t="n">
        <f aca="false">G156/L156</f>
        <v>0.640151515151515</v>
      </c>
      <c r="N156" s="9" t="n">
        <f aca="false">G156-F156</f>
        <v>-0.24</v>
      </c>
      <c r="O156" s="10" t="n">
        <f aca="false">IF(F156=0,"",G156/F156)</f>
        <v>0.875647668393782</v>
      </c>
      <c r="P156" s="9" t="n">
        <f aca="false">IF(H156&gt;0,1,0)</f>
        <v>0</v>
      </c>
      <c r="Q156" s="9" t="n">
        <f aca="false">IF(G156=0,1,0)</f>
        <v>0</v>
      </c>
      <c r="R156" s="9" t="str">
        <f aca="false">TEXT(A156,"mmm")</f>
        <v>Jun</v>
      </c>
      <c r="S156" s="9" t="n">
        <f aca="false">WEEKNUM(A156,2)</f>
        <v>26</v>
      </c>
      <c r="T156" s="9" t="str">
        <f aca="false">IF(A156&lt;DATE(2026,6,30),"1-Pre-outage",IF(A156&lt;DATE(2026,7,5),"2-Transition","3-Outage-heavy"))</f>
        <v>1-Pre-outage</v>
      </c>
      <c r="U156" s="9" t="str">
        <f aca="false">IF(K156="","",IF(ISNUMBER(SEARCH("TURBINE",K156)),"Turbine",IF(ISNUMBER(SEARCH("GENERATOR",K156)),"Generator",IF(ISNUMBER(SEARCH("BOILER",K156)),"Boiler",IF(ISNUMBER(SEARCH("AIR PREHEATER",K156)),"Auxiliary",IF(ISNUMBER(SEARCH("ELECTRICAL",K156)),"Electrical","Other"))))))</f>
        <v/>
      </c>
      <c r="V156" s="9" t="n">
        <f aca="false">AVERAGEIFS(G:G,B:B,B156,H:H,0)</f>
        <v>1.61181818181818</v>
      </c>
      <c r="W156" s="9" t="n">
        <f aca="false">IF(P156=1,MAX(0,V156-G156),0)</f>
        <v>0</v>
      </c>
    </row>
    <row r="157" customFormat="false" ht="15" hidden="false" customHeight="false" outlineLevel="0" collapsed="false">
      <c r="A157" s="8" t="n">
        <v>46201</v>
      </c>
      <c r="B157" s="9" t="n">
        <v>2</v>
      </c>
      <c r="C157" s="9" t="str">
        <f aca="false">"Unit "&amp;B157</f>
        <v>Unit 2</v>
      </c>
      <c r="D157" s="9"/>
      <c r="E157" s="9" t="n">
        <v>110</v>
      </c>
      <c r="F157" s="9" t="n">
        <v>1.93</v>
      </c>
      <c r="G157" s="9" t="n">
        <v>1.75</v>
      </c>
      <c r="H157" s="9" t="n">
        <v>0</v>
      </c>
      <c r="I157" s="9"/>
      <c r="J157" s="9"/>
      <c r="K157" s="9"/>
      <c r="L157" s="9" t="n">
        <f aca="false">E157*24/1000</f>
        <v>2.64</v>
      </c>
      <c r="M157" s="10" t="n">
        <f aca="false">G157/L157</f>
        <v>0.662878787878788</v>
      </c>
      <c r="N157" s="9" t="n">
        <f aca="false">G157-F157</f>
        <v>-0.18</v>
      </c>
      <c r="O157" s="10" t="n">
        <f aca="false">IF(F157=0,"",G157/F157)</f>
        <v>0.906735751295337</v>
      </c>
      <c r="P157" s="9" t="n">
        <f aca="false">IF(H157&gt;0,1,0)</f>
        <v>0</v>
      </c>
      <c r="Q157" s="9" t="n">
        <f aca="false">IF(G157=0,1,0)</f>
        <v>0</v>
      </c>
      <c r="R157" s="9" t="str">
        <f aca="false">TEXT(A157,"mmm")</f>
        <v>Jun</v>
      </c>
      <c r="S157" s="9" t="n">
        <f aca="false">WEEKNUM(A157,2)</f>
        <v>26</v>
      </c>
      <c r="T157" s="9" t="str">
        <f aca="false">IF(A157&lt;DATE(2026,6,30),"1-Pre-outage",IF(A157&lt;DATE(2026,7,5),"2-Transition","3-Outage-heavy"))</f>
        <v>1-Pre-outage</v>
      </c>
      <c r="U157" s="9" t="str">
        <f aca="false">IF(K157="","",IF(ISNUMBER(SEARCH("TURBINE",K157)),"Turbine",IF(ISNUMBER(SEARCH("GENERATOR",K157)),"Generator",IF(ISNUMBER(SEARCH("BOILER",K157)),"Boiler",IF(ISNUMBER(SEARCH("AIR PREHEATER",K157)),"Auxiliary",IF(ISNUMBER(SEARCH("ELECTRICAL",K157)),"Electrical","Other"))))))</f>
        <v/>
      </c>
      <c r="V157" s="9" t="n">
        <f aca="false">AVERAGEIFS(G:G,B:B,B157,H:H,0)</f>
        <v>1.67955555555556</v>
      </c>
      <c r="W157" s="9" t="n">
        <f aca="false">IF(P157=1,MAX(0,V157-G157),0)</f>
        <v>0</v>
      </c>
    </row>
    <row r="158" customFormat="false" ht="15" hidden="false" customHeight="false" outlineLevel="0" collapsed="false">
      <c r="A158" s="8" t="n">
        <v>46201</v>
      </c>
      <c r="B158" s="9" t="n">
        <v>3</v>
      </c>
      <c r="C158" s="9" t="str">
        <f aca="false">"Unit "&amp;B158</f>
        <v>Unit 3</v>
      </c>
      <c r="D158" s="9"/>
      <c r="E158" s="9" t="n">
        <v>210</v>
      </c>
      <c r="F158" s="9" t="n">
        <v>3.9</v>
      </c>
      <c r="G158" s="9" t="n">
        <v>3.9</v>
      </c>
      <c r="H158" s="9" t="n">
        <v>0</v>
      </c>
      <c r="I158" s="9"/>
      <c r="J158" s="9"/>
      <c r="K158" s="9"/>
      <c r="L158" s="9" t="n">
        <f aca="false">E158*24/1000</f>
        <v>5.04</v>
      </c>
      <c r="M158" s="10" t="n">
        <f aca="false">G158/L158</f>
        <v>0.773809523809524</v>
      </c>
      <c r="N158" s="9" t="n">
        <f aca="false">G158-F158</f>
        <v>0</v>
      </c>
      <c r="O158" s="10" t="n">
        <f aca="false">IF(F158=0,"",G158/F158)</f>
        <v>1</v>
      </c>
      <c r="P158" s="9" t="n">
        <f aca="false">IF(H158&gt;0,1,0)</f>
        <v>0</v>
      </c>
      <c r="Q158" s="9" t="n">
        <f aca="false">IF(G158=0,1,0)</f>
        <v>0</v>
      </c>
      <c r="R158" s="9" t="str">
        <f aca="false">TEXT(A158,"mmm")</f>
        <v>Jun</v>
      </c>
      <c r="S158" s="9" t="n">
        <f aca="false">WEEKNUM(A158,2)</f>
        <v>26</v>
      </c>
      <c r="T158" s="9" t="str">
        <f aca="false">IF(A158&lt;DATE(2026,6,30),"1-Pre-outage",IF(A158&lt;DATE(2026,7,5),"2-Transition","3-Outage-heavy"))</f>
        <v>1-Pre-outage</v>
      </c>
      <c r="U158" s="9" t="str">
        <f aca="false">IF(K158="","",IF(ISNUMBER(SEARCH("TURBINE",K158)),"Turbine",IF(ISNUMBER(SEARCH("GENERATOR",K158)),"Generator",IF(ISNUMBER(SEARCH("BOILER",K158)),"Boiler",IF(ISNUMBER(SEARCH("AIR PREHEATER",K158)),"Auxiliary",IF(ISNUMBER(SEARCH("ELECTRICAL",K158)),"Electrical","Other"))))))</f>
        <v/>
      </c>
      <c r="V158" s="9" t="n">
        <f aca="false">AVERAGEIFS(G:G,B:B,B158,H:H,0)</f>
        <v>3.72697674418605</v>
      </c>
      <c r="W158" s="9" t="n">
        <f aca="false">IF(P158=1,MAX(0,V158-G158),0)</f>
        <v>0</v>
      </c>
    </row>
    <row r="159" customFormat="false" ht="15" hidden="false" customHeight="false" outlineLevel="0" collapsed="false">
      <c r="A159" s="8" t="n">
        <v>46201</v>
      </c>
      <c r="B159" s="9" t="n">
        <v>4</v>
      </c>
      <c r="C159" s="9" t="str">
        <f aca="false">"Unit "&amp;B159</f>
        <v>Unit 4</v>
      </c>
      <c r="D159" s="9"/>
      <c r="E159" s="9" t="n">
        <v>210</v>
      </c>
      <c r="F159" s="9" t="n">
        <v>0</v>
      </c>
      <c r="G159" s="9" t="n">
        <v>3.62</v>
      </c>
      <c r="H159" s="9" t="n">
        <v>0</v>
      </c>
      <c r="I159" s="9"/>
      <c r="J159" s="9"/>
      <c r="K159" s="9"/>
      <c r="L159" s="9" t="n">
        <f aca="false">E159*24/1000</f>
        <v>5.04</v>
      </c>
      <c r="M159" s="10" t="n">
        <f aca="false">G159/L159</f>
        <v>0.718253968253968</v>
      </c>
      <c r="N159" s="9" t="n">
        <f aca="false">G159-F159</f>
        <v>3.62</v>
      </c>
      <c r="O159" s="10" t="str">
        <f aca="false">IF(F159=0,"",G159/F159)</f>
        <v/>
      </c>
      <c r="P159" s="9" t="n">
        <f aca="false">IF(H159&gt;0,1,0)</f>
        <v>0</v>
      </c>
      <c r="Q159" s="9" t="n">
        <f aca="false">IF(G159=0,1,0)</f>
        <v>0</v>
      </c>
      <c r="R159" s="9" t="str">
        <f aca="false">TEXT(A159,"mmm")</f>
        <v>Jun</v>
      </c>
      <c r="S159" s="9" t="n">
        <f aca="false">WEEKNUM(A159,2)</f>
        <v>26</v>
      </c>
      <c r="T159" s="9" t="str">
        <f aca="false">IF(A159&lt;DATE(2026,6,30),"1-Pre-outage",IF(A159&lt;DATE(2026,7,5),"2-Transition","3-Outage-heavy"))</f>
        <v>1-Pre-outage</v>
      </c>
      <c r="U159" s="9" t="str">
        <f aca="false">IF(K159="","",IF(ISNUMBER(SEARCH("TURBINE",K159)),"Turbine",IF(ISNUMBER(SEARCH("GENERATOR",K159)),"Generator",IF(ISNUMBER(SEARCH("BOILER",K159)),"Boiler",IF(ISNUMBER(SEARCH("AIR PREHEATER",K159)),"Auxiliary",IF(ISNUMBER(SEARCH("ELECTRICAL",K159)),"Electrical","Other"))))))</f>
        <v/>
      </c>
      <c r="V159" s="9" t="n">
        <f aca="false">AVERAGEIFS(G:G,B:B,B159,H:H,0)</f>
        <v>3.53586206896552</v>
      </c>
      <c r="W159" s="9" t="n">
        <f aca="false">IF(P159=1,MAX(0,V159-G159),0)</f>
        <v>0</v>
      </c>
    </row>
    <row r="160" customFormat="false" ht="15" hidden="false" customHeight="false" outlineLevel="0" collapsed="false">
      <c r="A160" s="8" t="n">
        <v>46201</v>
      </c>
      <c r="B160" s="9" t="n">
        <v>5</v>
      </c>
      <c r="C160" s="9" t="str">
        <f aca="false">"Unit "&amp;B160</f>
        <v>Unit 5</v>
      </c>
      <c r="D160" s="9"/>
      <c r="E160" s="9" t="n">
        <v>210</v>
      </c>
      <c r="F160" s="9" t="n">
        <v>4</v>
      </c>
      <c r="G160" s="9" t="n">
        <v>4.23</v>
      </c>
      <c r="H160" s="9" t="n">
        <v>0</v>
      </c>
      <c r="I160" s="9"/>
      <c r="J160" s="9"/>
      <c r="K160" s="9"/>
      <c r="L160" s="9" t="n">
        <f aca="false">E160*24/1000</f>
        <v>5.04</v>
      </c>
      <c r="M160" s="10" t="n">
        <f aca="false">G160/L160</f>
        <v>0.839285714285714</v>
      </c>
      <c r="N160" s="9" t="n">
        <f aca="false">G160-F160</f>
        <v>0.23</v>
      </c>
      <c r="O160" s="10" t="n">
        <f aca="false">IF(F160=0,"",G160/F160)</f>
        <v>1.0575</v>
      </c>
      <c r="P160" s="9" t="n">
        <f aca="false">IF(H160&gt;0,1,0)</f>
        <v>0</v>
      </c>
      <c r="Q160" s="9" t="n">
        <f aca="false">IF(G160=0,1,0)</f>
        <v>0</v>
      </c>
      <c r="R160" s="9" t="str">
        <f aca="false">TEXT(A160,"mmm")</f>
        <v>Jun</v>
      </c>
      <c r="S160" s="9" t="n">
        <f aca="false">WEEKNUM(A160,2)</f>
        <v>26</v>
      </c>
      <c r="T160" s="9" t="str">
        <f aca="false">IF(A160&lt;DATE(2026,6,30),"1-Pre-outage",IF(A160&lt;DATE(2026,7,5),"2-Transition","3-Outage-heavy"))</f>
        <v>1-Pre-outage</v>
      </c>
      <c r="U160" s="9" t="str">
        <f aca="false">IF(K160="","",IF(ISNUMBER(SEARCH("TURBINE",K160)),"Turbine",IF(ISNUMBER(SEARCH("GENERATOR",K160)),"Generator",IF(ISNUMBER(SEARCH("BOILER",K160)),"Boiler",IF(ISNUMBER(SEARCH("AIR PREHEATER",K160)),"Auxiliary",IF(ISNUMBER(SEARCH("ELECTRICAL",K160)),"Electrical","Other"))))))</f>
        <v/>
      </c>
      <c r="V160" s="9" t="n">
        <f aca="false">AVERAGEIFS(G:G,B:B,B160,H:H,0)</f>
        <v>3.98888888888889</v>
      </c>
      <c r="W160" s="9" t="n">
        <f aca="false">IF(P160=1,MAX(0,V160-G160),0)</f>
        <v>0</v>
      </c>
    </row>
    <row r="161" customFormat="false" ht="15" hidden="false" customHeight="false" outlineLevel="0" collapsed="false">
      <c r="A161" s="8" t="n">
        <v>46201</v>
      </c>
      <c r="B161" s="9" t="n">
        <v>6</v>
      </c>
      <c r="C161" s="9" t="str">
        <f aca="false">"Unit "&amp;B161</f>
        <v>Unit 6</v>
      </c>
      <c r="D161" s="9"/>
      <c r="E161" s="9" t="n">
        <v>195</v>
      </c>
      <c r="F161" s="9" t="n">
        <v>4.1</v>
      </c>
      <c r="G161" s="9" t="n">
        <v>3.84</v>
      </c>
      <c r="H161" s="9" t="n">
        <v>0</v>
      </c>
      <c r="I161" s="9"/>
      <c r="J161" s="9"/>
      <c r="K161" s="9"/>
      <c r="L161" s="9" t="n">
        <f aca="false">E161*24/1000</f>
        <v>4.68</v>
      </c>
      <c r="M161" s="10" t="n">
        <f aca="false">G161/L161</f>
        <v>0.820512820512821</v>
      </c>
      <c r="N161" s="9" t="n">
        <f aca="false">G161-F161</f>
        <v>-0.26</v>
      </c>
      <c r="O161" s="10" t="n">
        <f aca="false">IF(F161=0,"",G161/F161)</f>
        <v>0.936585365853659</v>
      </c>
      <c r="P161" s="9" t="n">
        <f aca="false">IF(H161&gt;0,1,0)</f>
        <v>0</v>
      </c>
      <c r="Q161" s="9" t="n">
        <f aca="false">IF(G161=0,1,0)</f>
        <v>0</v>
      </c>
      <c r="R161" s="9" t="str">
        <f aca="false">TEXT(A161,"mmm")</f>
        <v>Jun</v>
      </c>
      <c r="S161" s="9" t="n">
        <f aca="false">WEEKNUM(A161,2)</f>
        <v>26</v>
      </c>
      <c r="T161" s="9" t="str">
        <f aca="false">IF(A161&lt;DATE(2026,6,30),"1-Pre-outage",IF(A161&lt;DATE(2026,7,5),"2-Transition","3-Outage-heavy"))</f>
        <v>1-Pre-outage</v>
      </c>
      <c r="U161" s="9" t="str">
        <f aca="false">IF(K161="","",IF(ISNUMBER(SEARCH("TURBINE",K161)),"Turbine",IF(ISNUMBER(SEARCH("GENERATOR",K161)),"Generator",IF(ISNUMBER(SEARCH("BOILER",K161)),"Boiler",IF(ISNUMBER(SEARCH("AIR PREHEATER",K161)),"Auxiliary",IF(ISNUMBER(SEARCH("ELECTRICAL",K161)),"Electrical","Other"))))))</f>
        <v/>
      </c>
      <c r="V161" s="9" t="n">
        <f aca="false">AVERAGEIFS(G:G,B:B,B161,H:H,0)</f>
        <v>3.85377777777778</v>
      </c>
      <c r="W161" s="9" t="n">
        <f aca="false">IF(P161=1,MAX(0,V161-G161),0)</f>
        <v>0</v>
      </c>
    </row>
    <row r="162" customFormat="false" ht="15" hidden="false" customHeight="false" outlineLevel="0" collapsed="false">
      <c r="A162" s="8" t="n">
        <v>46201</v>
      </c>
      <c r="B162" s="9" t="n">
        <v>7</v>
      </c>
      <c r="C162" s="9" t="str">
        <f aca="false">"Unit "&amp;B162</f>
        <v>Unit 7</v>
      </c>
      <c r="D162" s="9"/>
      <c r="E162" s="9" t="n">
        <v>195</v>
      </c>
      <c r="F162" s="9" t="n">
        <v>4.1</v>
      </c>
      <c r="G162" s="9" t="n">
        <v>4.26</v>
      </c>
      <c r="H162" s="9" t="n">
        <v>0</v>
      </c>
      <c r="I162" s="9"/>
      <c r="J162" s="9"/>
      <c r="K162" s="9"/>
      <c r="L162" s="9" t="n">
        <f aca="false">E162*24/1000</f>
        <v>4.68</v>
      </c>
      <c r="M162" s="10" t="n">
        <f aca="false">G162/L162</f>
        <v>0.91025641025641</v>
      </c>
      <c r="N162" s="9" t="n">
        <f aca="false">G162-F162</f>
        <v>0.16</v>
      </c>
      <c r="O162" s="10" t="n">
        <f aca="false">IF(F162=0,"",G162/F162)</f>
        <v>1.0390243902439</v>
      </c>
      <c r="P162" s="9" t="n">
        <f aca="false">IF(H162&gt;0,1,0)</f>
        <v>0</v>
      </c>
      <c r="Q162" s="9" t="n">
        <f aca="false">IF(G162=0,1,0)</f>
        <v>0</v>
      </c>
      <c r="R162" s="9" t="str">
        <f aca="false">TEXT(A162,"mmm")</f>
        <v>Jun</v>
      </c>
      <c r="S162" s="9" t="n">
        <f aca="false">WEEKNUM(A162,2)</f>
        <v>26</v>
      </c>
      <c r="T162" s="9" t="str">
        <f aca="false">IF(A162&lt;DATE(2026,6,30),"1-Pre-outage",IF(A162&lt;DATE(2026,7,5),"2-Transition","3-Outage-heavy"))</f>
        <v>1-Pre-outage</v>
      </c>
      <c r="U162" s="9" t="str">
        <f aca="false">IF(K162="","",IF(ISNUMBER(SEARCH("TURBINE",K162)),"Turbine",IF(ISNUMBER(SEARCH("GENERATOR",K162)),"Generator",IF(ISNUMBER(SEARCH("BOILER",K162)),"Boiler",IF(ISNUMBER(SEARCH("AIR PREHEATER",K162)),"Auxiliary",IF(ISNUMBER(SEARCH("ELECTRICAL",K162)),"Electrical","Other"))))))</f>
        <v/>
      </c>
      <c r="V162" s="9" t="n">
        <f aca="false">AVERAGEIFS(G:G,B:B,B162,H:H,0)</f>
        <v>3.98375</v>
      </c>
      <c r="W162" s="9" t="n">
        <f aca="false">IF(P162=1,MAX(0,V162-G162),0)</f>
        <v>0</v>
      </c>
    </row>
    <row r="163" customFormat="false" ht="15" hidden="false" customHeight="false" outlineLevel="0" collapsed="false">
      <c r="A163" s="8" t="n">
        <v>46202</v>
      </c>
      <c r="B163" s="9" t="n">
        <v>1</v>
      </c>
      <c r="C163" s="9" t="str">
        <f aca="false">"Unit "&amp;B163</f>
        <v>Unit 1</v>
      </c>
      <c r="D163" s="9"/>
      <c r="E163" s="9" t="n">
        <v>110</v>
      </c>
      <c r="F163" s="9" t="n">
        <v>1.93</v>
      </c>
      <c r="G163" s="9" t="n">
        <v>1.72</v>
      </c>
      <c r="H163" s="9" t="n">
        <v>0</v>
      </c>
      <c r="I163" s="9"/>
      <c r="J163" s="9"/>
      <c r="K163" s="9"/>
      <c r="L163" s="9" t="n">
        <f aca="false">E163*24/1000</f>
        <v>2.64</v>
      </c>
      <c r="M163" s="10" t="n">
        <f aca="false">G163/L163</f>
        <v>0.651515151515152</v>
      </c>
      <c r="N163" s="9" t="n">
        <f aca="false">G163-F163</f>
        <v>-0.21</v>
      </c>
      <c r="O163" s="10" t="n">
        <f aca="false">IF(F163=0,"",G163/F163)</f>
        <v>0.89119170984456</v>
      </c>
      <c r="P163" s="9" t="n">
        <f aca="false">IF(H163&gt;0,1,0)</f>
        <v>0</v>
      </c>
      <c r="Q163" s="9" t="n">
        <f aca="false">IF(G163=0,1,0)</f>
        <v>0</v>
      </c>
      <c r="R163" s="9" t="str">
        <f aca="false">TEXT(A163,"mmm")</f>
        <v>Jun</v>
      </c>
      <c r="S163" s="9" t="n">
        <f aca="false">WEEKNUM(A163,2)</f>
        <v>27</v>
      </c>
      <c r="T163" s="9" t="str">
        <f aca="false">IF(A163&lt;DATE(2026,6,30),"1-Pre-outage",IF(A163&lt;DATE(2026,7,5),"2-Transition","3-Outage-heavy"))</f>
        <v>1-Pre-outage</v>
      </c>
      <c r="U163" s="9" t="str">
        <f aca="false">IF(K163="","",IF(ISNUMBER(SEARCH("TURBINE",K163)),"Turbine",IF(ISNUMBER(SEARCH("GENERATOR",K163)),"Generator",IF(ISNUMBER(SEARCH("BOILER",K163)),"Boiler",IF(ISNUMBER(SEARCH("AIR PREHEATER",K163)),"Auxiliary",IF(ISNUMBER(SEARCH("ELECTRICAL",K163)),"Electrical","Other"))))))</f>
        <v/>
      </c>
      <c r="V163" s="9" t="n">
        <f aca="false">AVERAGEIFS(G:G,B:B,B163,H:H,0)</f>
        <v>1.61181818181818</v>
      </c>
      <c r="W163" s="9" t="n">
        <f aca="false">IF(P163=1,MAX(0,V163-G163),0)</f>
        <v>0</v>
      </c>
    </row>
    <row r="164" customFormat="false" ht="15" hidden="false" customHeight="false" outlineLevel="0" collapsed="false">
      <c r="A164" s="8" t="n">
        <v>46202</v>
      </c>
      <c r="B164" s="9" t="n">
        <v>2</v>
      </c>
      <c r="C164" s="9" t="str">
        <f aca="false">"Unit "&amp;B164</f>
        <v>Unit 2</v>
      </c>
      <c r="D164" s="9"/>
      <c r="E164" s="9" t="n">
        <v>110</v>
      </c>
      <c r="F164" s="9" t="n">
        <v>1.93</v>
      </c>
      <c r="G164" s="9" t="n">
        <v>1.81</v>
      </c>
      <c r="H164" s="9" t="n">
        <v>0</v>
      </c>
      <c r="I164" s="9"/>
      <c r="J164" s="9"/>
      <c r="K164" s="9"/>
      <c r="L164" s="9" t="n">
        <f aca="false">E164*24/1000</f>
        <v>2.64</v>
      </c>
      <c r="M164" s="10" t="n">
        <f aca="false">G164/L164</f>
        <v>0.685606060606061</v>
      </c>
      <c r="N164" s="9" t="n">
        <f aca="false">G164-F164</f>
        <v>-0.12</v>
      </c>
      <c r="O164" s="10" t="n">
        <f aca="false">IF(F164=0,"",G164/F164)</f>
        <v>0.937823834196891</v>
      </c>
      <c r="P164" s="9" t="n">
        <f aca="false">IF(H164&gt;0,1,0)</f>
        <v>0</v>
      </c>
      <c r="Q164" s="9" t="n">
        <f aca="false">IF(G164=0,1,0)</f>
        <v>0</v>
      </c>
      <c r="R164" s="9" t="str">
        <f aca="false">TEXT(A164,"mmm")</f>
        <v>Jun</v>
      </c>
      <c r="S164" s="9" t="n">
        <f aca="false">WEEKNUM(A164,2)</f>
        <v>27</v>
      </c>
      <c r="T164" s="9" t="str">
        <f aca="false">IF(A164&lt;DATE(2026,6,30),"1-Pre-outage",IF(A164&lt;DATE(2026,7,5),"2-Transition","3-Outage-heavy"))</f>
        <v>1-Pre-outage</v>
      </c>
      <c r="U164" s="9" t="str">
        <f aca="false">IF(K164="","",IF(ISNUMBER(SEARCH("TURBINE",K164)),"Turbine",IF(ISNUMBER(SEARCH("GENERATOR",K164)),"Generator",IF(ISNUMBER(SEARCH("BOILER",K164)),"Boiler",IF(ISNUMBER(SEARCH("AIR PREHEATER",K164)),"Auxiliary",IF(ISNUMBER(SEARCH("ELECTRICAL",K164)),"Electrical","Other"))))))</f>
        <v/>
      </c>
      <c r="V164" s="9" t="n">
        <f aca="false">AVERAGEIFS(G:G,B:B,B164,H:H,0)</f>
        <v>1.67955555555556</v>
      </c>
      <c r="W164" s="9" t="n">
        <f aca="false">IF(P164=1,MAX(0,V164-G164),0)</f>
        <v>0</v>
      </c>
    </row>
    <row r="165" customFormat="false" ht="15" hidden="false" customHeight="false" outlineLevel="0" collapsed="false">
      <c r="A165" s="8" t="n">
        <v>46202</v>
      </c>
      <c r="B165" s="9" t="n">
        <v>3</v>
      </c>
      <c r="C165" s="9" t="str">
        <f aca="false">"Unit "&amp;B165</f>
        <v>Unit 3</v>
      </c>
      <c r="D165" s="9"/>
      <c r="E165" s="9" t="n">
        <v>210</v>
      </c>
      <c r="F165" s="9" t="n">
        <v>3.9</v>
      </c>
      <c r="G165" s="9" t="n">
        <v>3.85</v>
      </c>
      <c r="H165" s="9" t="n">
        <v>0</v>
      </c>
      <c r="I165" s="9"/>
      <c r="J165" s="9"/>
      <c r="K165" s="9"/>
      <c r="L165" s="9" t="n">
        <f aca="false">E165*24/1000</f>
        <v>5.04</v>
      </c>
      <c r="M165" s="10" t="n">
        <f aca="false">G165/L165</f>
        <v>0.763888888888889</v>
      </c>
      <c r="N165" s="9" t="n">
        <f aca="false">G165-F165</f>
        <v>-0.0499999999999998</v>
      </c>
      <c r="O165" s="10" t="n">
        <f aca="false">IF(F165=0,"",G165/F165)</f>
        <v>0.987179487179487</v>
      </c>
      <c r="P165" s="9" t="n">
        <f aca="false">IF(H165&gt;0,1,0)</f>
        <v>0</v>
      </c>
      <c r="Q165" s="9" t="n">
        <f aca="false">IF(G165=0,1,0)</f>
        <v>0</v>
      </c>
      <c r="R165" s="9" t="str">
        <f aca="false">TEXT(A165,"mmm")</f>
        <v>Jun</v>
      </c>
      <c r="S165" s="9" t="n">
        <f aca="false">WEEKNUM(A165,2)</f>
        <v>27</v>
      </c>
      <c r="T165" s="9" t="str">
        <f aca="false">IF(A165&lt;DATE(2026,6,30),"1-Pre-outage",IF(A165&lt;DATE(2026,7,5),"2-Transition","3-Outage-heavy"))</f>
        <v>1-Pre-outage</v>
      </c>
      <c r="U165" s="9" t="str">
        <f aca="false">IF(K165="","",IF(ISNUMBER(SEARCH("TURBINE",K165)),"Turbine",IF(ISNUMBER(SEARCH("GENERATOR",K165)),"Generator",IF(ISNUMBER(SEARCH("BOILER",K165)),"Boiler",IF(ISNUMBER(SEARCH("AIR PREHEATER",K165)),"Auxiliary",IF(ISNUMBER(SEARCH("ELECTRICAL",K165)),"Electrical","Other"))))))</f>
        <v/>
      </c>
      <c r="V165" s="9" t="n">
        <f aca="false">AVERAGEIFS(G:G,B:B,B165,H:H,0)</f>
        <v>3.72697674418605</v>
      </c>
      <c r="W165" s="9" t="n">
        <f aca="false">IF(P165=1,MAX(0,V165-G165),0)</f>
        <v>0</v>
      </c>
    </row>
    <row r="166" customFormat="false" ht="15" hidden="false" customHeight="false" outlineLevel="0" collapsed="false">
      <c r="A166" s="8" t="n">
        <v>46202</v>
      </c>
      <c r="B166" s="9" t="n">
        <v>4</v>
      </c>
      <c r="C166" s="9" t="str">
        <f aca="false">"Unit "&amp;B166</f>
        <v>Unit 4</v>
      </c>
      <c r="D166" s="9"/>
      <c r="E166" s="9" t="n">
        <v>210</v>
      </c>
      <c r="F166" s="9" t="n">
        <v>0</v>
      </c>
      <c r="G166" s="9" t="n">
        <v>3.64</v>
      </c>
      <c r="H166" s="9" t="n">
        <v>0</v>
      </c>
      <c r="I166" s="9"/>
      <c r="J166" s="9"/>
      <c r="K166" s="9"/>
      <c r="L166" s="9" t="n">
        <f aca="false">E166*24/1000</f>
        <v>5.04</v>
      </c>
      <c r="M166" s="10" t="n">
        <f aca="false">G166/L166</f>
        <v>0.722222222222222</v>
      </c>
      <c r="N166" s="9" t="n">
        <f aca="false">G166-F166</f>
        <v>3.64</v>
      </c>
      <c r="O166" s="10" t="str">
        <f aca="false">IF(F166=0,"",G166/F166)</f>
        <v/>
      </c>
      <c r="P166" s="9" t="n">
        <f aca="false">IF(H166&gt;0,1,0)</f>
        <v>0</v>
      </c>
      <c r="Q166" s="9" t="n">
        <f aca="false">IF(G166=0,1,0)</f>
        <v>0</v>
      </c>
      <c r="R166" s="9" t="str">
        <f aca="false">TEXT(A166,"mmm")</f>
        <v>Jun</v>
      </c>
      <c r="S166" s="9" t="n">
        <f aca="false">WEEKNUM(A166,2)</f>
        <v>27</v>
      </c>
      <c r="T166" s="9" t="str">
        <f aca="false">IF(A166&lt;DATE(2026,6,30),"1-Pre-outage",IF(A166&lt;DATE(2026,7,5),"2-Transition","3-Outage-heavy"))</f>
        <v>1-Pre-outage</v>
      </c>
      <c r="U166" s="9" t="str">
        <f aca="false">IF(K166="","",IF(ISNUMBER(SEARCH("TURBINE",K166)),"Turbine",IF(ISNUMBER(SEARCH("GENERATOR",K166)),"Generator",IF(ISNUMBER(SEARCH("BOILER",K166)),"Boiler",IF(ISNUMBER(SEARCH("AIR PREHEATER",K166)),"Auxiliary",IF(ISNUMBER(SEARCH("ELECTRICAL",K166)),"Electrical","Other"))))))</f>
        <v/>
      </c>
      <c r="V166" s="9" t="n">
        <f aca="false">AVERAGEIFS(G:G,B:B,B166,H:H,0)</f>
        <v>3.53586206896552</v>
      </c>
      <c r="W166" s="9" t="n">
        <f aca="false">IF(P166=1,MAX(0,V166-G166),0)</f>
        <v>0</v>
      </c>
    </row>
    <row r="167" customFormat="false" ht="15" hidden="false" customHeight="false" outlineLevel="0" collapsed="false">
      <c r="A167" s="8" t="n">
        <v>46202</v>
      </c>
      <c r="B167" s="9" t="n">
        <v>5</v>
      </c>
      <c r="C167" s="9" t="str">
        <f aca="false">"Unit "&amp;B167</f>
        <v>Unit 5</v>
      </c>
      <c r="D167" s="9"/>
      <c r="E167" s="9" t="n">
        <v>210</v>
      </c>
      <c r="F167" s="9" t="n">
        <v>4</v>
      </c>
      <c r="G167" s="9" t="n">
        <v>4.16</v>
      </c>
      <c r="H167" s="9" t="n">
        <v>0</v>
      </c>
      <c r="I167" s="9"/>
      <c r="J167" s="9"/>
      <c r="K167" s="9"/>
      <c r="L167" s="9" t="n">
        <f aca="false">E167*24/1000</f>
        <v>5.04</v>
      </c>
      <c r="M167" s="10" t="n">
        <f aca="false">G167/L167</f>
        <v>0.825396825396826</v>
      </c>
      <c r="N167" s="9" t="n">
        <f aca="false">G167-F167</f>
        <v>0.16</v>
      </c>
      <c r="O167" s="10" t="n">
        <f aca="false">IF(F167=0,"",G167/F167)</f>
        <v>1.04</v>
      </c>
      <c r="P167" s="9" t="n">
        <f aca="false">IF(H167&gt;0,1,0)</f>
        <v>0</v>
      </c>
      <c r="Q167" s="9" t="n">
        <f aca="false">IF(G167=0,1,0)</f>
        <v>0</v>
      </c>
      <c r="R167" s="9" t="str">
        <f aca="false">TEXT(A167,"mmm")</f>
        <v>Jun</v>
      </c>
      <c r="S167" s="9" t="n">
        <f aca="false">WEEKNUM(A167,2)</f>
        <v>27</v>
      </c>
      <c r="T167" s="9" t="str">
        <f aca="false">IF(A167&lt;DATE(2026,6,30),"1-Pre-outage",IF(A167&lt;DATE(2026,7,5),"2-Transition","3-Outage-heavy"))</f>
        <v>1-Pre-outage</v>
      </c>
      <c r="U167" s="9" t="str">
        <f aca="false">IF(K167="","",IF(ISNUMBER(SEARCH("TURBINE",K167)),"Turbine",IF(ISNUMBER(SEARCH("GENERATOR",K167)),"Generator",IF(ISNUMBER(SEARCH("BOILER",K167)),"Boiler",IF(ISNUMBER(SEARCH("AIR PREHEATER",K167)),"Auxiliary",IF(ISNUMBER(SEARCH("ELECTRICAL",K167)),"Electrical","Other"))))))</f>
        <v/>
      </c>
      <c r="V167" s="9" t="n">
        <f aca="false">AVERAGEIFS(G:G,B:B,B167,H:H,0)</f>
        <v>3.98888888888889</v>
      </c>
      <c r="W167" s="9" t="n">
        <f aca="false">IF(P167=1,MAX(0,V167-G167),0)</f>
        <v>0</v>
      </c>
    </row>
    <row r="168" customFormat="false" ht="15" hidden="false" customHeight="false" outlineLevel="0" collapsed="false">
      <c r="A168" s="8" t="n">
        <v>46202</v>
      </c>
      <c r="B168" s="9" t="n">
        <v>6</v>
      </c>
      <c r="C168" s="9" t="str">
        <f aca="false">"Unit "&amp;B168</f>
        <v>Unit 6</v>
      </c>
      <c r="D168" s="9"/>
      <c r="E168" s="9" t="n">
        <v>195</v>
      </c>
      <c r="F168" s="9" t="n">
        <v>4.1</v>
      </c>
      <c r="G168" s="9" t="n">
        <v>3.84</v>
      </c>
      <c r="H168" s="9" t="n">
        <v>0</v>
      </c>
      <c r="I168" s="9"/>
      <c r="J168" s="9"/>
      <c r="K168" s="9"/>
      <c r="L168" s="9" t="n">
        <f aca="false">E168*24/1000</f>
        <v>4.68</v>
      </c>
      <c r="M168" s="10" t="n">
        <f aca="false">G168/L168</f>
        <v>0.820512820512821</v>
      </c>
      <c r="N168" s="9" t="n">
        <f aca="false">G168-F168</f>
        <v>-0.26</v>
      </c>
      <c r="O168" s="10" t="n">
        <f aca="false">IF(F168=0,"",G168/F168)</f>
        <v>0.936585365853659</v>
      </c>
      <c r="P168" s="9" t="n">
        <f aca="false">IF(H168&gt;0,1,0)</f>
        <v>0</v>
      </c>
      <c r="Q168" s="9" t="n">
        <f aca="false">IF(G168=0,1,0)</f>
        <v>0</v>
      </c>
      <c r="R168" s="9" t="str">
        <f aca="false">TEXT(A168,"mmm")</f>
        <v>Jun</v>
      </c>
      <c r="S168" s="9" t="n">
        <f aca="false">WEEKNUM(A168,2)</f>
        <v>27</v>
      </c>
      <c r="T168" s="9" t="str">
        <f aca="false">IF(A168&lt;DATE(2026,6,30),"1-Pre-outage",IF(A168&lt;DATE(2026,7,5),"2-Transition","3-Outage-heavy"))</f>
        <v>1-Pre-outage</v>
      </c>
      <c r="U168" s="9" t="str">
        <f aca="false">IF(K168="","",IF(ISNUMBER(SEARCH("TURBINE",K168)),"Turbine",IF(ISNUMBER(SEARCH("GENERATOR",K168)),"Generator",IF(ISNUMBER(SEARCH("BOILER",K168)),"Boiler",IF(ISNUMBER(SEARCH("AIR PREHEATER",K168)),"Auxiliary",IF(ISNUMBER(SEARCH("ELECTRICAL",K168)),"Electrical","Other"))))))</f>
        <v/>
      </c>
      <c r="V168" s="9" t="n">
        <f aca="false">AVERAGEIFS(G:G,B:B,B168,H:H,0)</f>
        <v>3.85377777777778</v>
      </c>
      <c r="W168" s="9" t="n">
        <f aca="false">IF(P168=1,MAX(0,V168-G168),0)</f>
        <v>0</v>
      </c>
    </row>
    <row r="169" customFormat="false" ht="15" hidden="false" customHeight="false" outlineLevel="0" collapsed="false">
      <c r="A169" s="8" t="n">
        <v>46202</v>
      </c>
      <c r="B169" s="9" t="n">
        <v>7</v>
      </c>
      <c r="C169" s="9" t="str">
        <f aca="false">"Unit "&amp;B169</f>
        <v>Unit 7</v>
      </c>
      <c r="D169" s="9"/>
      <c r="E169" s="9" t="n">
        <v>195</v>
      </c>
      <c r="F169" s="9" t="n">
        <v>4.1</v>
      </c>
      <c r="G169" s="9" t="n">
        <v>4.28</v>
      </c>
      <c r="H169" s="9" t="n">
        <v>0</v>
      </c>
      <c r="I169" s="9"/>
      <c r="J169" s="9"/>
      <c r="K169" s="9"/>
      <c r="L169" s="9" t="n">
        <f aca="false">E169*24/1000</f>
        <v>4.68</v>
      </c>
      <c r="M169" s="10" t="n">
        <f aca="false">G169/L169</f>
        <v>0.914529914529915</v>
      </c>
      <c r="N169" s="9" t="n">
        <f aca="false">G169-F169</f>
        <v>0.180000000000001</v>
      </c>
      <c r="O169" s="10" t="n">
        <f aca="false">IF(F169=0,"",G169/F169)</f>
        <v>1.04390243902439</v>
      </c>
      <c r="P169" s="9" t="n">
        <f aca="false">IF(H169&gt;0,1,0)</f>
        <v>0</v>
      </c>
      <c r="Q169" s="9" t="n">
        <f aca="false">IF(G169=0,1,0)</f>
        <v>0</v>
      </c>
      <c r="R169" s="9" t="str">
        <f aca="false">TEXT(A169,"mmm")</f>
        <v>Jun</v>
      </c>
      <c r="S169" s="9" t="n">
        <f aca="false">WEEKNUM(A169,2)</f>
        <v>27</v>
      </c>
      <c r="T169" s="9" t="str">
        <f aca="false">IF(A169&lt;DATE(2026,6,30),"1-Pre-outage",IF(A169&lt;DATE(2026,7,5),"2-Transition","3-Outage-heavy"))</f>
        <v>1-Pre-outage</v>
      </c>
      <c r="U169" s="9" t="str">
        <f aca="false">IF(K169="","",IF(ISNUMBER(SEARCH("TURBINE",K169)),"Turbine",IF(ISNUMBER(SEARCH("GENERATOR",K169)),"Generator",IF(ISNUMBER(SEARCH("BOILER",K169)),"Boiler",IF(ISNUMBER(SEARCH("AIR PREHEATER",K169)),"Auxiliary",IF(ISNUMBER(SEARCH("ELECTRICAL",K169)),"Electrical","Other"))))))</f>
        <v/>
      </c>
      <c r="V169" s="9" t="n">
        <f aca="false">AVERAGEIFS(G:G,B:B,B169,H:H,0)</f>
        <v>3.98375</v>
      </c>
      <c r="W169" s="9" t="n">
        <f aca="false">IF(P169=1,MAX(0,V169-G169),0)</f>
        <v>0</v>
      </c>
    </row>
    <row r="170" customFormat="false" ht="15" hidden="false" customHeight="false" outlineLevel="0" collapsed="false">
      <c r="A170" s="8" t="n">
        <v>46203</v>
      </c>
      <c r="B170" s="9" t="n">
        <v>1</v>
      </c>
      <c r="C170" s="9" t="str">
        <f aca="false">"Unit "&amp;B170</f>
        <v>Unit 1</v>
      </c>
      <c r="D170" s="9"/>
      <c r="E170" s="9" t="n">
        <v>110</v>
      </c>
      <c r="F170" s="9" t="n">
        <v>1.93</v>
      </c>
      <c r="G170" s="9" t="n">
        <v>1.69</v>
      </c>
      <c r="H170" s="9" t="n">
        <v>0</v>
      </c>
      <c r="I170" s="9"/>
      <c r="J170" s="9"/>
      <c r="K170" s="9"/>
      <c r="L170" s="9" t="n">
        <f aca="false">E170*24/1000</f>
        <v>2.64</v>
      </c>
      <c r="M170" s="10" t="n">
        <f aca="false">G170/L170</f>
        <v>0.640151515151515</v>
      </c>
      <c r="N170" s="9" t="n">
        <f aca="false">G170-F170</f>
        <v>-0.24</v>
      </c>
      <c r="O170" s="10" t="n">
        <f aca="false">IF(F170=0,"",G170/F170)</f>
        <v>0.875647668393782</v>
      </c>
      <c r="P170" s="9" t="n">
        <f aca="false">IF(H170&gt;0,1,0)</f>
        <v>0</v>
      </c>
      <c r="Q170" s="9" t="n">
        <f aca="false">IF(G170=0,1,0)</f>
        <v>0</v>
      </c>
      <c r="R170" s="9" t="str">
        <f aca="false">TEXT(A170,"mmm")</f>
        <v>Jun</v>
      </c>
      <c r="S170" s="9" t="n">
        <f aca="false">WEEKNUM(A170,2)</f>
        <v>27</v>
      </c>
      <c r="T170" s="9" t="str">
        <f aca="false">IF(A170&lt;DATE(2026,6,30),"1-Pre-outage",IF(A170&lt;DATE(2026,7,5),"2-Transition","3-Outage-heavy"))</f>
        <v>2-Transition</v>
      </c>
      <c r="U170" s="9" t="str">
        <f aca="false">IF(K170="","",IF(ISNUMBER(SEARCH("TURBINE",K170)),"Turbine",IF(ISNUMBER(SEARCH("GENERATOR",K170)),"Generator",IF(ISNUMBER(SEARCH("BOILER",K170)),"Boiler",IF(ISNUMBER(SEARCH("AIR PREHEATER",K170)),"Auxiliary",IF(ISNUMBER(SEARCH("ELECTRICAL",K170)),"Electrical","Other"))))))</f>
        <v/>
      </c>
      <c r="V170" s="9" t="n">
        <f aca="false">AVERAGEIFS(G:G,B:B,B170,H:H,0)</f>
        <v>1.61181818181818</v>
      </c>
      <c r="W170" s="9" t="n">
        <f aca="false">IF(P170=1,MAX(0,V170-G170),0)</f>
        <v>0</v>
      </c>
    </row>
    <row r="171" customFormat="false" ht="15" hidden="false" customHeight="false" outlineLevel="0" collapsed="false">
      <c r="A171" s="8" t="n">
        <v>46203</v>
      </c>
      <c r="B171" s="9" t="n">
        <v>2</v>
      </c>
      <c r="C171" s="9" t="str">
        <f aca="false">"Unit "&amp;B171</f>
        <v>Unit 2</v>
      </c>
      <c r="D171" s="9"/>
      <c r="E171" s="9" t="n">
        <v>110</v>
      </c>
      <c r="F171" s="9" t="n">
        <v>1.93</v>
      </c>
      <c r="G171" s="9" t="n">
        <v>1.72</v>
      </c>
      <c r="H171" s="9" t="n">
        <v>0</v>
      </c>
      <c r="I171" s="9"/>
      <c r="J171" s="9"/>
      <c r="K171" s="9"/>
      <c r="L171" s="9" t="n">
        <f aca="false">E171*24/1000</f>
        <v>2.64</v>
      </c>
      <c r="M171" s="10" t="n">
        <f aca="false">G171/L171</f>
        <v>0.651515151515152</v>
      </c>
      <c r="N171" s="9" t="n">
        <f aca="false">G171-F171</f>
        <v>-0.21</v>
      </c>
      <c r="O171" s="10" t="n">
        <f aca="false">IF(F171=0,"",G171/F171)</f>
        <v>0.89119170984456</v>
      </c>
      <c r="P171" s="9" t="n">
        <f aca="false">IF(H171&gt;0,1,0)</f>
        <v>0</v>
      </c>
      <c r="Q171" s="9" t="n">
        <f aca="false">IF(G171=0,1,0)</f>
        <v>0</v>
      </c>
      <c r="R171" s="9" t="str">
        <f aca="false">TEXT(A171,"mmm")</f>
        <v>Jun</v>
      </c>
      <c r="S171" s="9" t="n">
        <f aca="false">WEEKNUM(A171,2)</f>
        <v>27</v>
      </c>
      <c r="T171" s="9" t="str">
        <f aca="false">IF(A171&lt;DATE(2026,6,30),"1-Pre-outage",IF(A171&lt;DATE(2026,7,5),"2-Transition","3-Outage-heavy"))</f>
        <v>2-Transition</v>
      </c>
      <c r="U171" s="9" t="str">
        <f aca="false">IF(K171="","",IF(ISNUMBER(SEARCH("TURBINE",K171)),"Turbine",IF(ISNUMBER(SEARCH("GENERATOR",K171)),"Generator",IF(ISNUMBER(SEARCH("BOILER",K171)),"Boiler",IF(ISNUMBER(SEARCH("AIR PREHEATER",K171)),"Auxiliary",IF(ISNUMBER(SEARCH("ELECTRICAL",K171)),"Electrical","Other"))))))</f>
        <v/>
      </c>
      <c r="V171" s="9" t="n">
        <f aca="false">AVERAGEIFS(G:G,B:B,B171,H:H,0)</f>
        <v>1.67955555555556</v>
      </c>
      <c r="W171" s="9" t="n">
        <f aca="false">IF(P171=1,MAX(0,V171-G171),0)</f>
        <v>0</v>
      </c>
    </row>
    <row r="172" customFormat="false" ht="15" hidden="false" customHeight="false" outlineLevel="0" collapsed="false">
      <c r="A172" s="8" t="n">
        <v>46203</v>
      </c>
      <c r="B172" s="9" t="n">
        <v>3</v>
      </c>
      <c r="C172" s="9" t="str">
        <f aca="false">"Unit "&amp;B172</f>
        <v>Unit 3</v>
      </c>
      <c r="D172" s="9"/>
      <c r="E172" s="9" t="n">
        <v>210</v>
      </c>
      <c r="F172" s="9" t="n">
        <v>3.9</v>
      </c>
      <c r="G172" s="9" t="n">
        <v>3.79</v>
      </c>
      <c r="H172" s="9" t="n">
        <v>0</v>
      </c>
      <c r="I172" s="9"/>
      <c r="J172" s="9"/>
      <c r="K172" s="9"/>
      <c r="L172" s="9" t="n">
        <f aca="false">E172*24/1000</f>
        <v>5.04</v>
      </c>
      <c r="M172" s="10" t="n">
        <f aca="false">G172/L172</f>
        <v>0.751984126984127</v>
      </c>
      <c r="N172" s="9" t="n">
        <f aca="false">G172-F172</f>
        <v>-0.11</v>
      </c>
      <c r="O172" s="10" t="n">
        <f aca="false">IF(F172=0,"",G172/F172)</f>
        <v>0.971794871794872</v>
      </c>
      <c r="P172" s="9" t="n">
        <f aca="false">IF(H172&gt;0,1,0)</f>
        <v>0</v>
      </c>
      <c r="Q172" s="9" t="n">
        <f aca="false">IF(G172=0,1,0)</f>
        <v>0</v>
      </c>
      <c r="R172" s="9" t="str">
        <f aca="false">TEXT(A172,"mmm")</f>
        <v>Jun</v>
      </c>
      <c r="S172" s="9" t="n">
        <f aca="false">WEEKNUM(A172,2)</f>
        <v>27</v>
      </c>
      <c r="T172" s="9" t="str">
        <f aca="false">IF(A172&lt;DATE(2026,6,30),"1-Pre-outage",IF(A172&lt;DATE(2026,7,5),"2-Transition","3-Outage-heavy"))</f>
        <v>2-Transition</v>
      </c>
      <c r="U172" s="9" t="str">
        <f aca="false">IF(K172="","",IF(ISNUMBER(SEARCH("TURBINE",K172)),"Turbine",IF(ISNUMBER(SEARCH("GENERATOR",K172)),"Generator",IF(ISNUMBER(SEARCH("BOILER",K172)),"Boiler",IF(ISNUMBER(SEARCH("AIR PREHEATER",K172)),"Auxiliary",IF(ISNUMBER(SEARCH("ELECTRICAL",K172)),"Electrical","Other"))))))</f>
        <v/>
      </c>
      <c r="V172" s="9" t="n">
        <f aca="false">AVERAGEIFS(G:G,B:B,B172,H:H,0)</f>
        <v>3.72697674418605</v>
      </c>
      <c r="W172" s="9" t="n">
        <f aca="false">IF(P172=1,MAX(0,V172-G172),0)</f>
        <v>0</v>
      </c>
    </row>
    <row r="173" customFormat="false" ht="15" hidden="false" customHeight="false" outlineLevel="0" collapsed="false">
      <c r="A173" s="8" t="n">
        <v>46203</v>
      </c>
      <c r="B173" s="9" t="n">
        <v>4</v>
      </c>
      <c r="C173" s="9" t="str">
        <f aca="false">"Unit "&amp;B173</f>
        <v>Unit 4</v>
      </c>
      <c r="D173" s="9"/>
      <c r="E173" s="9" t="n">
        <v>210</v>
      </c>
      <c r="F173" s="9" t="n">
        <v>0</v>
      </c>
      <c r="G173" s="9" t="n">
        <v>3.61</v>
      </c>
      <c r="H173" s="9" t="n">
        <v>0</v>
      </c>
      <c r="I173" s="9"/>
      <c r="J173" s="9"/>
      <c r="K173" s="9"/>
      <c r="L173" s="9" t="n">
        <f aca="false">E173*24/1000</f>
        <v>5.04</v>
      </c>
      <c r="M173" s="10" t="n">
        <f aca="false">G173/L173</f>
        <v>0.716269841269841</v>
      </c>
      <c r="N173" s="9" t="n">
        <f aca="false">G173-F173</f>
        <v>3.61</v>
      </c>
      <c r="O173" s="10" t="str">
        <f aca="false">IF(F173=0,"",G173/F173)</f>
        <v/>
      </c>
      <c r="P173" s="9" t="n">
        <f aca="false">IF(H173&gt;0,1,0)</f>
        <v>0</v>
      </c>
      <c r="Q173" s="9" t="n">
        <f aca="false">IF(G173=0,1,0)</f>
        <v>0</v>
      </c>
      <c r="R173" s="9" t="str">
        <f aca="false">TEXT(A173,"mmm")</f>
        <v>Jun</v>
      </c>
      <c r="S173" s="9" t="n">
        <f aca="false">WEEKNUM(A173,2)</f>
        <v>27</v>
      </c>
      <c r="T173" s="9" t="str">
        <f aca="false">IF(A173&lt;DATE(2026,6,30),"1-Pre-outage",IF(A173&lt;DATE(2026,7,5),"2-Transition","3-Outage-heavy"))</f>
        <v>2-Transition</v>
      </c>
      <c r="U173" s="9" t="str">
        <f aca="false">IF(K173="","",IF(ISNUMBER(SEARCH("TURBINE",K173)),"Turbine",IF(ISNUMBER(SEARCH("GENERATOR",K173)),"Generator",IF(ISNUMBER(SEARCH("BOILER",K173)),"Boiler",IF(ISNUMBER(SEARCH("AIR PREHEATER",K173)),"Auxiliary",IF(ISNUMBER(SEARCH("ELECTRICAL",K173)),"Electrical","Other"))))))</f>
        <v/>
      </c>
      <c r="V173" s="9" t="n">
        <f aca="false">AVERAGEIFS(G:G,B:B,B173,H:H,0)</f>
        <v>3.53586206896552</v>
      </c>
      <c r="W173" s="9" t="n">
        <f aca="false">IF(P173=1,MAX(0,V173-G173),0)</f>
        <v>0</v>
      </c>
    </row>
    <row r="174" customFormat="false" ht="15" hidden="false" customHeight="false" outlineLevel="0" collapsed="false">
      <c r="A174" s="8" t="n">
        <v>46203</v>
      </c>
      <c r="B174" s="9" t="n">
        <v>5</v>
      </c>
      <c r="C174" s="9" t="str">
        <f aca="false">"Unit "&amp;B174</f>
        <v>Unit 5</v>
      </c>
      <c r="D174" s="9"/>
      <c r="E174" s="9" t="n">
        <v>210</v>
      </c>
      <c r="F174" s="9" t="n">
        <v>4</v>
      </c>
      <c r="G174" s="9" t="n">
        <v>4.08</v>
      </c>
      <c r="H174" s="9" t="n">
        <v>0</v>
      </c>
      <c r="I174" s="9"/>
      <c r="J174" s="9"/>
      <c r="K174" s="9"/>
      <c r="L174" s="9" t="n">
        <f aca="false">E174*24/1000</f>
        <v>5.04</v>
      </c>
      <c r="M174" s="10" t="n">
        <f aca="false">G174/L174</f>
        <v>0.80952380952381</v>
      </c>
      <c r="N174" s="9" t="n">
        <f aca="false">G174-F174</f>
        <v>0.0800000000000001</v>
      </c>
      <c r="O174" s="10" t="n">
        <f aca="false">IF(F174=0,"",G174/F174)</f>
        <v>1.02</v>
      </c>
      <c r="P174" s="9" t="n">
        <f aca="false">IF(H174&gt;0,1,0)</f>
        <v>0</v>
      </c>
      <c r="Q174" s="9" t="n">
        <f aca="false">IF(G174=0,1,0)</f>
        <v>0</v>
      </c>
      <c r="R174" s="9" t="str">
        <f aca="false">TEXT(A174,"mmm")</f>
        <v>Jun</v>
      </c>
      <c r="S174" s="9" t="n">
        <f aca="false">WEEKNUM(A174,2)</f>
        <v>27</v>
      </c>
      <c r="T174" s="9" t="str">
        <f aca="false">IF(A174&lt;DATE(2026,6,30),"1-Pre-outage",IF(A174&lt;DATE(2026,7,5),"2-Transition","3-Outage-heavy"))</f>
        <v>2-Transition</v>
      </c>
      <c r="U174" s="9" t="str">
        <f aca="false">IF(K174="","",IF(ISNUMBER(SEARCH("TURBINE",K174)),"Turbine",IF(ISNUMBER(SEARCH("GENERATOR",K174)),"Generator",IF(ISNUMBER(SEARCH("BOILER",K174)),"Boiler",IF(ISNUMBER(SEARCH("AIR PREHEATER",K174)),"Auxiliary",IF(ISNUMBER(SEARCH("ELECTRICAL",K174)),"Electrical","Other"))))))</f>
        <v/>
      </c>
      <c r="V174" s="9" t="n">
        <f aca="false">AVERAGEIFS(G:G,B:B,B174,H:H,0)</f>
        <v>3.98888888888889</v>
      </c>
      <c r="W174" s="9" t="n">
        <f aca="false">IF(P174=1,MAX(0,V174-G174),0)</f>
        <v>0</v>
      </c>
    </row>
    <row r="175" customFormat="false" ht="15" hidden="false" customHeight="false" outlineLevel="0" collapsed="false">
      <c r="A175" s="8" t="n">
        <v>46203</v>
      </c>
      <c r="B175" s="9" t="n">
        <v>6</v>
      </c>
      <c r="C175" s="9" t="str">
        <f aca="false">"Unit "&amp;B175</f>
        <v>Unit 6</v>
      </c>
      <c r="D175" s="9"/>
      <c r="E175" s="9" t="n">
        <v>195</v>
      </c>
      <c r="F175" s="9" t="n">
        <v>4.1</v>
      </c>
      <c r="G175" s="9" t="n">
        <v>3.85</v>
      </c>
      <c r="H175" s="9" t="n">
        <v>0</v>
      </c>
      <c r="I175" s="9"/>
      <c r="J175" s="9"/>
      <c r="K175" s="9"/>
      <c r="L175" s="9" t="n">
        <f aca="false">E175*24/1000</f>
        <v>4.68</v>
      </c>
      <c r="M175" s="10" t="n">
        <f aca="false">G175/L175</f>
        <v>0.822649572649573</v>
      </c>
      <c r="N175" s="9" t="n">
        <f aca="false">G175-F175</f>
        <v>-0.25</v>
      </c>
      <c r="O175" s="10" t="n">
        <f aca="false">IF(F175=0,"",G175/F175)</f>
        <v>0.939024390243903</v>
      </c>
      <c r="P175" s="9" t="n">
        <f aca="false">IF(H175&gt;0,1,0)</f>
        <v>0</v>
      </c>
      <c r="Q175" s="9" t="n">
        <f aca="false">IF(G175=0,1,0)</f>
        <v>0</v>
      </c>
      <c r="R175" s="9" t="str">
        <f aca="false">TEXT(A175,"mmm")</f>
        <v>Jun</v>
      </c>
      <c r="S175" s="9" t="n">
        <f aca="false">WEEKNUM(A175,2)</f>
        <v>27</v>
      </c>
      <c r="T175" s="9" t="str">
        <f aca="false">IF(A175&lt;DATE(2026,6,30),"1-Pre-outage",IF(A175&lt;DATE(2026,7,5),"2-Transition","3-Outage-heavy"))</f>
        <v>2-Transition</v>
      </c>
      <c r="U175" s="9" t="str">
        <f aca="false">IF(K175="","",IF(ISNUMBER(SEARCH("TURBINE",K175)),"Turbine",IF(ISNUMBER(SEARCH("GENERATOR",K175)),"Generator",IF(ISNUMBER(SEARCH("BOILER",K175)),"Boiler",IF(ISNUMBER(SEARCH("AIR PREHEATER",K175)),"Auxiliary",IF(ISNUMBER(SEARCH("ELECTRICAL",K175)),"Electrical","Other"))))))</f>
        <v/>
      </c>
      <c r="V175" s="9" t="n">
        <f aca="false">AVERAGEIFS(G:G,B:B,B175,H:H,0)</f>
        <v>3.85377777777778</v>
      </c>
      <c r="W175" s="9" t="n">
        <f aca="false">IF(P175=1,MAX(0,V175-G175),0)</f>
        <v>0</v>
      </c>
    </row>
    <row r="176" customFormat="false" ht="15" hidden="false" customHeight="false" outlineLevel="0" collapsed="false">
      <c r="A176" s="8" t="n">
        <v>46203</v>
      </c>
      <c r="B176" s="9" t="n">
        <v>7</v>
      </c>
      <c r="C176" s="9" t="str">
        <f aca="false">"Unit "&amp;B176</f>
        <v>Unit 7</v>
      </c>
      <c r="D176" s="9" t="s">
        <v>76</v>
      </c>
      <c r="E176" s="9" t="n">
        <v>195</v>
      </c>
      <c r="F176" s="9" t="n">
        <v>4.1</v>
      </c>
      <c r="G176" s="9" t="n">
        <v>3.31</v>
      </c>
      <c r="H176" s="9" t="n">
        <v>195</v>
      </c>
      <c r="I176" s="11" t="n">
        <v>46203.8201388889</v>
      </c>
      <c r="J176" s="9"/>
      <c r="K176" s="9" t="s">
        <v>77</v>
      </c>
      <c r="L176" s="9" t="n">
        <f aca="false">E176*24/1000</f>
        <v>4.68</v>
      </c>
      <c r="M176" s="10" t="n">
        <f aca="false">G176/L176</f>
        <v>0.707264957264957</v>
      </c>
      <c r="N176" s="9" t="n">
        <f aca="false">G176-F176</f>
        <v>-0.79</v>
      </c>
      <c r="O176" s="10" t="n">
        <f aca="false">IF(F176=0,"",G176/F176)</f>
        <v>0.807317073170732</v>
      </c>
      <c r="P176" s="9" t="n">
        <f aca="false">IF(H176&gt;0,1,0)</f>
        <v>1</v>
      </c>
      <c r="Q176" s="9" t="n">
        <f aca="false">IF(G176=0,1,0)</f>
        <v>0</v>
      </c>
      <c r="R176" s="9" t="str">
        <f aca="false">TEXT(A176,"mmm")</f>
        <v>Jun</v>
      </c>
      <c r="S176" s="9" t="n">
        <f aca="false">WEEKNUM(A176,2)</f>
        <v>27</v>
      </c>
      <c r="T176" s="9" t="str">
        <f aca="false">IF(A176&lt;DATE(2026,6,30),"1-Pre-outage",IF(A176&lt;DATE(2026,7,5),"2-Transition","3-Outage-heavy"))</f>
        <v>2-Transition</v>
      </c>
      <c r="U176" s="9" t="str">
        <f aca="false">IF(K176="","",IF(ISNUMBER(SEARCH("TURBINE",K176)),"Turbine",IF(ISNUMBER(SEARCH("GENERATOR",K176)),"Generator",IF(ISNUMBER(SEARCH("BOILER",K176)),"Boiler",IF(ISNUMBER(SEARCH("AIR PREHEATER",K176)),"Auxiliary",IF(ISNUMBER(SEARCH("ELECTRICAL",K176)),"Electrical","Other"))))))</f>
        <v>Auxiliary</v>
      </c>
      <c r="V176" s="9" t="n">
        <f aca="false">AVERAGEIFS(G:G,B:B,B176,H:H,0)</f>
        <v>3.98375</v>
      </c>
      <c r="W176" s="9" t="n">
        <f aca="false">IF(P176=1,MAX(0,V176-G176),0)</f>
        <v>0.67375</v>
      </c>
    </row>
    <row r="177" customFormat="false" ht="15" hidden="false" customHeight="false" outlineLevel="0" collapsed="false">
      <c r="A177" s="8" t="n">
        <v>46204</v>
      </c>
      <c r="B177" s="9" t="n">
        <v>1</v>
      </c>
      <c r="C177" s="9" t="str">
        <f aca="false">"Unit "&amp;B177</f>
        <v>Unit 1</v>
      </c>
      <c r="D177" s="9"/>
      <c r="E177" s="9" t="n">
        <v>110</v>
      </c>
      <c r="F177" s="9" t="n">
        <v>1.84</v>
      </c>
      <c r="G177" s="9" t="n">
        <v>1.71</v>
      </c>
      <c r="H177" s="9" t="n">
        <v>0</v>
      </c>
      <c r="I177" s="9"/>
      <c r="J177" s="9"/>
      <c r="K177" s="9"/>
      <c r="L177" s="9" t="n">
        <f aca="false">E177*24/1000</f>
        <v>2.64</v>
      </c>
      <c r="M177" s="10" t="n">
        <f aca="false">G177/L177</f>
        <v>0.647727272727273</v>
      </c>
      <c r="N177" s="9" t="n">
        <f aca="false">G177-F177</f>
        <v>-0.13</v>
      </c>
      <c r="O177" s="10" t="n">
        <f aca="false">IF(F177=0,"",G177/F177)</f>
        <v>0.929347826086956</v>
      </c>
      <c r="P177" s="9" t="n">
        <f aca="false">IF(H177&gt;0,1,0)</f>
        <v>0</v>
      </c>
      <c r="Q177" s="9" t="n">
        <f aca="false">IF(G177=0,1,0)</f>
        <v>0</v>
      </c>
      <c r="R177" s="9" t="str">
        <f aca="false">TEXT(A177,"mmm")</f>
        <v>Jul</v>
      </c>
      <c r="S177" s="9" t="n">
        <f aca="false">WEEKNUM(A177,2)</f>
        <v>27</v>
      </c>
      <c r="T177" s="9" t="str">
        <f aca="false">IF(A177&lt;DATE(2026,6,30),"1-Pre-outage",IF(A177&lt;DATE(2026,7,5),"2-Transition","3-Outage-heavy"))</f>
        <v>2-Transition</v>
      </c>
      <c r="U177" s="9" t="str">
        <f aca="false">IF(K177="","",IF(ISNUMBER(SEARCH("TURBINE",K177)),"Turbine",IF(ISNUMBER(SEARCH("GENERATOR",K177)),"Generator",IF(ISNUMBER(SEARCH("BOILER",K177)),"Boiler",IF(ISNUMBER(SEARCH("AIR PREHEATER",K177)),"Auxiliary",IF(ISNUMBER(SEARCH("ELECTRICAL",K177)),"Electrical","Other"))))))</f>
        <v/>
      </c>
      <c r="V177" s="9" t="n">
        <f aca="false">AVERAGEIFS(G:G,B:B,B177,H:H,0)</f>
        <v>1.61181818181818</v>
      </c>
      <c r="W177" s="9" t="n">
        <f aca="false">IF(P177=1,MAX(0,V177-G177),0)</f>
        <v>0</v>
      </c>
    </row>
    <row r="178" customFormat="false" ht="15" hidden="false" customHeight="false" outlineLevel="0" collapsed="false">
      <c r="A178" s="8" t="n">
        <v>46204</v>
      </c>
      <c r="B178" s="9" t="n">
        <v>2</v>
      </c>
      <c r="C178" s="9" t="str">
        <f aca="false">"Unit "&amp;B178</f>
        <v>Unit 2</v>
      </c>
      <c r="D178" s="9"/>
      <c r="E178" s="9" t="n">
        <v>110</v>
      </c>
      <c r="F178" s="9" t="n">
        <v>1.87</v>
      </c>
      <c r="G178" s="9" t="n">
        <v>1.74</v>
      </c>
      <c r="H178" s="9" t="n">
        <v>0</v>
      </c>
      <c r="I178" s="9"/>
      <c r="J178" s="9"/>
      <c r="K178" s="9"/>
      <c r="L178" s="9" t="n">
        <f aca="false">E178*24/1000</f>
        <v>2.64</v>
      </c>
      <c r="M178" s="10" t="n">
        <f aca="false">G178/L178</f>
        <v>0.659090909090909</v>
      </c>
      <c r="N178" s="9" t="n">
        <f aca="false">G178-F178</f>
        <v>-0.13</v>
      </c>
      <c r="O178" s="10" t="n">
        <f aca="false">IF(F178=0,"",G178/F178)</f>
        <v>0.93048128342246</v>
      </c>
      <c r="P178" s="9" t="n">
        <f aca="false">IF(H178&gt;0,1,0)</f>
        <v>0</v>
      </c>
      <c r="Q178" s="9" t="n">
        <f aca="false">IF(G178=0,1,0)</f>
        <v>0</v>
      </c>
      <c r="R178" s="9" t="str">
        <f aca="false">TEXT(A178,"mmm")</f>
        <v>Jul</v>
      </c>
      <c r="S178" s="9" t="n">
        <f aca="false">WEEKNUM(A178,2)</f>
        <v>27</v>
      </c>
      <c r="T178" s="9" t="str">
        <f aca="false">IF(A178&lt;DATE(2026,6,30),"1-Pre-outage",IF(A178&lt;DATE(2026,7,5),"2-Transition","3-Outage-heavy"))</f>
        <v>2-Transition</v>
      </c>
      <c r="U178" s="9" t="str">
        <f aca="false">IF(K178="","",IF(ISNUMBER(SEARCH("TURBINE",K178)),"Turbine",IF(ISNUMBER(SEARCH("GENERATOR",K178)),"Generator",IF(ISNUMBER(SEARCH("BOILER",K178)),"Boiler",IF(ISNUMBER(SEARCH("AIR PREHEATER",K178)),"Auxiliary",IF(ISNUMBER(SEARCH("ELECTRICAL",K178)),"Electrical","Other"))))))</f>
        <v/>
      </c>
      <c r="V178" s="9" t="n">
        <f aca="false">AVERAGEIFS(G:G,B:B,B178,H:H,0)</f>
        <v>1.67955555555556</v>
      </c>
      <c r="W178" s="9" t="n">
        <f aca="false">IF(P178=1,MAX(0,V178-G178),0)</f>
        <v>0</v>
      </c>
    </row>
    <row r="179" customFormat="false" ht="15" hidden="false" customHeight="false" outlineLevel="0" collapsed="false">
      <c r="A179" s="8" t="n">
        <v>46204</v>
      </c>
      <c r="B179" s="9" t="n">
        <v>3</v>
      </c>
      <c r="C179" s="9" t="str">
        <f aca="false">"Unit "&amp;B179</f>
        <v>Unit 3</v>
      </c>
      <c r="D179" s="9"/>
      <c r="E179" s="9" t="n">
        <v>210</v>
      </c>
      <c r="F179" s="9" t="n">
        <v>3.67</v>
      </c>
      <c r="G179" s="9" t="n">
        <v>3.82</v>
      </c>
      <c r="H179" s="9" t="n">
        <v>0</v>
      </c>
      <c r="I179" s="9"/>
      <c r="J179" s="9"/>
      <c r="K179" s="9"/>
      <c r="L179" s="9" t="n">
        <f aca="false">E179*24/1000</f>
        <v>5.04</v>
      </c>
      <c r="M179" s="10" t="n">
        <f aca="false">G179/L179</f>
        <v>0.757936507936508</v>
      </c>
      <c r="N179" s="9" t="n">
        <f aca="false">G179-F179</f>
        <v>0.15</v>
      </c>
      <c r="O179" s="10" t="n">
        <f aca="false">IF(F179=0,"",G179/F179)</f>
        <v>1.0408719346049</v>
      </c>
      <c r="P179" s="9" t="n">
        <f aca="false">IF(H179&gt;0,1,0)</f>
        <v>0</v>
      </c>
      <c r="Q179" s="9" t="n">
        <f aca="false">IF(G179=0,1,0)</f>
        <v>0</v>
      </c>
      <c r="R179" s="9" t="str">
        <f aca="false">TEXT(A179,"mmm")</f>
        <v>Jul</v>
      </c>
      <c r="S179" s="9" t="n">
        <f aca="false">WEEKNUM(A179,2)</f>
        <v>27</v>
      </c>
      <c r="T179" s="9" t="str">
        <f aca="false">IF(A179&lt;DATE(2026,6,30),"1-Pre-outage",IF(A179&lt;DATE(2026,7,5),"2-Transition","3-Outage-heavy"))</f>
        <v>2-Transition</v>
      </c>
      <c r="U179" s="9" t="str">
        <f aca="false">IF(K179="","",IF(ISNUMBER(SEARCH("TURBINE",K179)),"Turbine",IF(ISNUMBER(SEARCH("GENERATOR",K179)),"Generator",IF(ISNUMBER(SEARCH("BOILER",K179)),"Boiler",IF(ISNUMBER(SEARCH("AIR PREHEATER",K179)),"Auxiliary",IF(ISNUMBER(SEARCH("ELECTRICAL",K179)),"Electrical","Other"))))))</f>
        <v/>
      </c>
      <c r="V179" s="9" t="n">
        <f aca="false">AVERAGEIFS(G:G,B:B,B179,H:H,0)</f>
        <v>3.72697674418605</v>
      </c>
      <c r="W179" s="9" t="n">
        <f aca="false">IF(P179=1,MAX(0,V179-G179),0)</f>
        <v>0</v>
      </c>
    </row>
    <row r="180" customFormat="false" ht="15" hidden="false" customHeight="false" outlineLevel="0" collapsed="false">
      <c r="A180" s="8" t="n">
        <v>46204</v>
      </c>
      <c r="B180" s="9" t="n">
        <v>4</v>
      </c>
      <c r="C180" s="9" t="str">
        <f aca="false">"Unit "&amp;B180</f>
        <v>Unit 4</v>
      </c>
      <c r="D180" s="9"/>
      <c r="E180" s="9" t="n">
        <v>210</v>
      </c>
      <c r="F180" s="9" t="n">
        <v>0</v>
      </c>
      <c r="G180" s="9" t="n">
        <v>3.63</v>
      </c>
      <c r="H180" s="9" t="n">
        <v>0</v>
      </c>
      <c r="I180" s="9"/>
      <c r="J180" s="9"/>
      <c r="K180" s="9"/>
      <c r="L180" s="9" t="n">
        <f aca="false">E180*24/1000</f>
        <v>5.04</v>
      </c>
      <c r="M180" s="10" t="n">
        <f aca="false">G180/L180</f>
        <v>0.720238095238095</v>
      </c>
      <c r="N180" s="9" t="n">
        <f aca="false">G180-F180</f>
        <v>3.63</v>
      </c>
      <c r="O180" s="10" t="str">
        <f aca="false">IF(F180=0,"",G180/F180)</f>
        <v/>
      </c>
      <c r="P180" s="9" t="n">
        <f aca="false">IF(H180&gt;0,1,0)</f>
        <v>0</v>
      </c>
      <c r="Q180" s="9" t="n">
        <f aca="false">IF(G180=0,1,0)</f>
        <v>0</v>
      </c>
      <c r="R180" s="9" t="str">
        <f aca="false">TEXT(A180,"mmm")</f>
        <v>Jul</v>
      </c>
      <c r="S180" s="9" t="n">
        <f aca="false">WEEKNUM(A180,2)</f>
        <v>27</v>
      </c>
      <c r="T180" s="9" t="str">
        <f aca="false">IF(A180&lt;DATE(2026,6,30),"1-Pre-outage",IF(A180&lt;DATE(2026,7,5),"2-Transition","3-Outage-heavy"))</f>
        <v>2-Transition</v>
      </c>
      <c r="U180" s="9" t="str">
        <f aca="false">IF(K180="","",IF(ISNUMBER(SEARCH("TURBINE",K180)),"Turbine",IF(ISNUMBER(SEARCH("GENERATOR",K180)),"Generator",IF(ISNUMBER(SEARCH("BOILER",K180)),"Boiler",IF(ISNUMBER(SEARCH("AIR PREHEATER",K180)),"Auxiliary",IF(ISNUMBER(SEARCH("ELECTRICAL",K180)),"Electrical","Other"))))))</f>
        <v/>
      </c>
      <c r="V180" s="9" t="n">
        <f aca="false">AVERAGEIFS(G:G,B:B,B180,H:H,0)</f>
        <v>3.53586206896552</v>
      </c>
      <c r="W180" s="9" t="n">
        <f aca="false">IF(P180=1,MAX(0,V180-G180),0)</f>
        <v>0</v>
      </c>
    </row>
    <row r="181" customFormat="false" ht="15" hidden="false" customHeight="false" outlineLevel="0" collapsed="false">
      <c r="A181" s="8" t="n">
        <v>46204</v>
      </c>
      <c r="B181" s="9" t="n">
        <v>5</v>
      </c>
      <c r="C181" s="9" t="str">
        <f aca="false">"Unit "&amp;B181</f>
        <v>Unit 5</v>
      </c>
      <c r="D181" s="9"/>
      <c r="E181" s="9" t="n">
        <v>210</v>
      </c>
      <c r="F181" s="9" t="n">
        <v>3.81</v>
      </c>
      <c r="G181" s="9" t="n">
        <v>4.06</v>
      </c>
      <c r="H181" s="9" t="n">
        <v>0</v>
      </c>
      <c r="I181" s="9"/>
      <c r="J181" s="9"/>
      <c r="K181" s="9"/>
      <c r="L181" s="9" t="n">
        <f aca="false">E181*24/1000</f>
        <v>5.04</v>
      </c>
      <c r="M181" s="10" t="n">
        <f aca="false">G181/L181</f>
        <v>0.805555555555556</v>
      </c>
      <c r="N181" s="9" t="n">
        <f aca="false">G181-F181</f>
        <v>0.25</v>
      </c>
      <c r="O181" s="10" t="n">
        <f aca="false">IF(F181=0,"",G181/F181)</f>
        <v>1.06561679790026</v>
      </c>
      <c r="P181" s="9" t="n">
        <f aca="false">IF(H181&gt;0,1,0)</f>
        <v>0</v>
      </c>
      <c r="Q181" s="9" t="n">
        <f aca="false">IF(G181=0,1,0)</f>
        <v>0</v>
      </c>
      <c r="R181" s="9" t="str">
        <f aca="false">TEXT(A181,"mmm")</f>
        <v>Jul</v>
      </c>
      <c r="S181" s="9" t="n">
        <f aca="false">WEEKNUM(A181,2)</f>
        <v>27</v>
      </c>
      <c r="T181" s="9" t="str">
        <f aca="false">IF(A181&lt;DATE(2026,6,30),"1-Pre-outage",IF(A181&lt;DATE(2026,7,5),"2-Transition","3-Outage-heavy"))</f>
        <v>2-Transition</v>
      </c>
      <c r="U181" s="9" t="str">
        <f aca="false">IF(K181="","",IF(ISNUMBER(SEARCH("TURBINE",K181)),"Turbine",IF(ISNUMBER(SEARCH("GENERATOR",K181)),"Generator",IF(ISNUMBER(SEARCH("BOILER",K181)),"Boiler",IF(ISNUMBER(SEARCH("AIR PREHEATER",K181)),"Auxiliary",IF(ISNUMBER(SEARCH("ELECTRICAL",K181)),"Electrical","Other"))))))</f>
        <v/>
      </c>
      <c r="V181" s="9" t="n">
        <f aca="false">AVERAGEIFS(G:G,B:B,B181,H:H,0)</f>
        <v>3.98888888888889</v>
      </c>
      <c r="W181" s="9" t="n">
        <f aca="false">IF(P181=1,MAX(0,V181-G181),0)</f>
        <v>0</v>
      </c>
    </row>
    <row r="182" customFormat="false" ht="15" hidden="false" customHeight="false" outlineLevel="0" collapsed="false">
      <c r="A182" s="8" t="n">
        <v>46204</v>
      </c>
      <c r="B182" s="9" t="n">
        <v>6</v>
      </c>
      <c r="C182" s="9" t="str">
        <f aca="false">"Unit "&amp;B182</f>
        <v>Unit 6</v>
      </c>
      <c r="D182" s="9"/>
      <c r="E182" s="9" t="n">
        <v>195</v>
      </c>
      <c r="F182" s="9" t="n">
        <v>3.84</v>
      </c>
      <c r="G182" s="9" t="n">
        <v>3.86</v>
      </c>
      <c r="H182" s="9" t="n">
        <v>0</v>
      </c>
      <c r="I182" s="9"/>
      <c r="J182" s="9"/>
      <c r="K182" s="9"/>
      <c r="L182" s="9" t="n">
        <f aca="false">E182*24/1000</f>
        <v>4.68</v>
      </c>
      <c r="M182" s="10" t="n">
        <f aca="false">G182/L182</f>
        <v>0.824786324786325</v>
      </c>
      <c r="N182" s="9" t="n">
        <f aca="false">G182-F182</f>
        <v>0.02</v>
      </c>
      <c r="O182" s="10" t="n">
        <f aca="false">IF(F182=0,"",G182/F182)</f>
        <v>1.00520833333333</v>
      </c>
      <c r="P182" s="9" t="n">
        <f aca="false">IF(H182&gt;0,1,0)</f>
        <v>0</v>
      </c>
      <c r="Q182" s="9" t="n">
        <f aca="false">IF(G182=0,1,0)</f>
        <v>0</v>
      </c>
      <c r="R182" s="9" t="str">
        <f aca="false">TEXT(A182,"mmm")</f>
        <v>Jul</v>
      </c>
      <c r="S182" s="9" t="n">
        <f aca="false">WEEKNUM(A182,2)</f>
        <v>27</v>
      </c>
      <c r="T182" s="9" t="str">
        <f aca="false">IF(A182&lt;DATE(2026,6,30),"1-Pre-outage",IF(A182&lt;DATE(2026,7,5),"2-Transition","3-Outage-heavy"))</f>
        <v>2-Transition</v>
      </c>
      <c r="U182" s="9" t="str">
        <f aca="false">IF(K182="","",IF(ISNUMBER(SEARCH("TURBINE",K182)),"Turbine",IF(ISNUMBER(SEARCH("GENERATOR",K182)),"Generator",IF(ISNUMBER(SEARCH("BOILER",K182)),"Boiler",IF(ISNUMBER(SEARCH("AIR PREHEATER",K182)),"Auxiliary",IF(ISNUMBER(SEARCH("ELECTRICAL",K182)),"Electrical","Other"))))))</f>
        <v/>
      </c>
      <c r="V182" s="9" t="n">
        <f aca="false">AVERAGEIFS(G:G,B:B,B182,H:H,0)</f>
        <v>3.85377777777778</v>
      </c>
      <c r="W182" s="9" t="n">
        <f aca="false">IF(P182=1,MAX(0,V182-G182),0)</f>
        <v>0</v>
      </c>
    </row>
    <row r="183" customFormat="false" ht="15" hidden="false" customHeight="false" outlineLevel="0" collapsed="false">
      <c r="A183" s="8" t="n">
        <v>46204</v>
      </c>
      <c r="B183" s="9" t="n">
        <v>7</v>
      </c>
      <c r="C183" s="9" t="str">
        <f aca="false">"Unit "&amp;B183</f>
        <v>Unit 7</v>
      </c>
      <c r="D183" s="9" t="s">
        <v>79</v>
      </c>
      <c r="E183" s="9" t="n">
        <v>195</v>
      </c>
      <c r="F183" s="9" t="n">
        <v>0</v>
      </c>
      <c r="G183" s="9" t="n">
        <v>3.28</v>
      </c>
      <c r="H183" s="9" t="n">
        <v>195</v>
      </c>
      <c r="I183" s="11" t="n">
        <v>46203.8201388889</v>
      </c>
      <c r="J183" s="11" t="n">
        <v>46204.1493055556</v>
      </c>
      <c r="K183" s="9" t="s">
        <v>77</v>
      </c>
      <c r="L183" s="9" t="n">
        <f aca="false">E183*24/1000</f>
        <v>4.68</v>
      </c>
      <c r="M183" s="10" t="n">
        <f aca="false">G183/L183</f>
        <v>0.700854700854701</v>
      </c>
      <c r="N183" s="9" t="n">
        <f aca="false">G183-F183</f>
        <v>3.28</v>
      </c>
      <c r="O183" s="10" t="str">
        <f aca="false">IF(F183=0,"",G183/F183)</f>
        <v/>
      </c>
      <c r="P183" s="9" t="n">
        <f aca="false">IF(H183&gt;0,1,0)</f>
        <v>1</v>
      </c>
      <c r="Q183" s="9" t="n">
        <f aca="false">IF(G183=0,1,0)</f>
        <v>0</v>
      </c>
      <c r="R183" s="9" t="str">
        <f aca="false">TEXT(A183,"mmm")</f>
        <v>Jul</v>
      </c>
      <c r="S183" s="9" t="n">
        <f aca="false">WEEKNUM(A183,2)</f>
        <v>27</v>
      </c>
      <c r="T183" s="9" t="str">
        <f aca="false">IF(A183&lt;DATE(2026,6,30),"1-Pre-outage",IF(A183&lt;DATE(2026,7,5),"2-Transition","3-Outage-heavy"))</f>
        <v>2-Transition</v>
      </c>
      <c r="U183" s="9" t="str">
        <f aca="false">IF(K183="","",IF(ISNUMBER(SEARCH("TURBINE",K183)),"Turbine",IF(ISNUMBER(SEARCH("GENERATOR",K183)),"Generator",IF(ISNUMBER(SEARCH("BOILER",K183)),"Boiler",IF(ISNUMBER(SEARCH("AIR PREHEATER",K183)),"Auxiliary",IF(ISNUMBER(SEARCH("ELECTRICAL",K183)),"Electrical","Other"))))))</f>
        <v>Auxiliary</v>
      </c>
      <c r="V183" s="9" t="n">
        <f aca="false">AVERAGEIFS(G:G,B:B,B183,H:H,0)</f>
        <v>3.98375</v>
      </c>
      <c r="W183" s="9" t="n">
        <f aca="false">IF(P183=1,MAX(0,V183-G183),0)</f>
        <v>0.70375</v>
      </c>
    </row>
    <row r="184" customFormat="false" ht="15" hidden="false" customHeight="false" outlineLevel="0" collapsed="false">
      <c r="A184" s="8" t="n">
        <v>46205</v>
      </c>
      <c r="B184" s="9" t="n">
        <v>1</v>
      </c>
      <c r="C184" s="9" t="str">
        <f aca="false">"Unit "&amp;B184</f>
        <v>Unit 1</v>
      </c>
      <c r="D184" s="9"/>
      <c r="E184" s="9" t="n">
        <v>110</v>
      </c>
      <c r="F184" s="9" t="n">
        <v>1.84</v>
      </c>
      <c r="G184" s="9" t="n">
        <v>1.71</v>
      </c>
      <c r="H184" s="9" t="n">
        <v>0</v>
      </c>
      <c r="I184" s="9"/>
      <c r="J184" s="9"/>
      <c r="K184" s="9"/>
      <c r="L184" s="9" t="n">
        <f aca="false">E184*24/1000</f>
        <v>2.64</v>
      </c>
      <c r="M184" s="10" t="n">
        <f aca="false">G184/L184</f>
        <v>0.647727272727273</v>
      </c>
      <c r="N184" s="9" t="n">
        <f aca="false">G184-F184</f>
        <v>-0.13</v>
      </c>
      <c r="O184" s="10" t="n">
        <f aca="false">IF(F184=0,"",G184/F184)</f>
        <v>0.929347826086956</v>
      </c>
      <c r="P184" s="9" t="n">
        <f aca="false">IF(H184&gt;0,1,0)</f>
        <v>0</v>
      </c>
      <c r="Q184" s="9" t="n">
        <f aca="false">IF(G184=0,1,0)</f>
        <v>0</v>
      </c>
      <c r="R184" s="9" t="str">
        <f aca="false">TEXT(A184,"mmm")</f>
        <v>Jul</v>
      </c>
      <c r="S184" s="9" t="n">
        <f aca="false">WEEKNUM(A184,2)</f>
        <v>27</v>
      </c>
      <c r="T184" s="9" t="str">
        <f aca="false">IF(A184&lt;DATE(2026,6,30),"1-Pre-outage",IF(A184&lt;DATE(2026,7,5),"2-Transition","3-Outage-heavy"))</f>
        <v>2-Transition</v>
      </c>
      <c r="U184" s="9" t="str">
        <f aca="false">IF(K184="","",IF(ISNUMBER(SEARCH("TURBINE",K184)),"Turbine",IF(ISNUMBER(SEARCH("GENERATOR",K184)),"Generator",IF(ISNUMBER(SEARCH("BOILER",K184)),"Boiler",IF(ISNUMBER(SEARCH("AIR PREHEATER",K184)),"Auxiliary",IF(ISNUMBER(SEARCH("ELECTRICAL",K184)),"Electrical","Other"))))))</f>
        <v/>
      </c>
      <c r="V184" s="9" t="n">
        <f aca="false">AVERAGEIFS(G:G,B:B,B184,H:H,0)</f>
        <v>1.61181818181818</v>
      </c>
      <c r="W184" s="9" t="n">
        <f aca="false">IF(P184=1,MAX(0,V184-G184),0)</f>
        <v>0</v>
      </c>
    </row>
    <row r="185" customFormat="false" ht="15" hidden="false" customHeight="false" outlineLevel="0" collapsed="false">
      <c r="A185" s="8" t="n">
        <v>46205</v>
      </c>
      <c r="B185" s="9" t="n">
        <v>2</v>
      </c>
      <c r="C185" s="9" t="str">
        <f aca="false">"Unit "&amp;B185</f>
        <v>Unit 2</v>
      </c>
      <c r="D185" s="9"/>
      <c r="E185" s="9" t="n">
        <v>110</v>
      </c>
      <c r="F185" s="9" t="n">
        <v>1.87</v>
      </c>
      <c r="G185" s="9" t="n">
        <v>1.76</v>
      </c>
      <c r="H185" s="9" t="n">
        <v>0</v>
      </c>
      <c r="I185" s="9"/>
      <c r="J185" s="9"/>
      <c r="K185" s="9"/>
      <c r="L185" s="9" t="n">
        <f aca="false">E185*24/1000</f>
        <v>2.64</v>
      </c>
      <c r="M185" s="10" t="n">
        <f aca="false">G185/L185</f>
        <v>0.666666666666667</v>
      </c>
      <c r="N185" s="9" t="n">
        <f aca="false">G185-F185</f>
        <v>-0.11</v>
      </c>
      <c r="O185" s="10" t="n">
        <f aca="false">IF(F185=0,"",G185/F185)</f>
        <v>0.941176470588235</v>
      </c>
      <c r="P185" s="9" t="n">
        <f aca="false">IF(H185&gt;0,1,0)</f>
        <v>0</v>
      </c>
      <c r="Q185" s="9" t="n">
        <f aca="false">IF(G185=0,1,0)</f>
        <v>0</v>
      </c>
      <c r="R185" s="9" t="str">
        <f aca="false">TEXT(A185,"mmm")</f>
        <v>Jul</v>
      </c>
      <c r="S185" s="9" t="n">
        <f aca="false">WEEKNUM(A185,2)</f>
        <v>27</v>
      </c>
      <c r="T185" s="9" t="str">
        <f aca="false">IF(A185&lt;DATE(2026,6,30),"1-Pre-outage",IF(A185&lt;DATE(2026,7,5),"2-Transition","3-Outage-heavy"))</f>
        <v>2-Transition</v>
      </c>
      <c r="U185" s="9" t="str">
        <f aca="false">IF(K185="","",IF(ISNUMBER(SEARCH("TURBINE",K185)),"Turbine",IF(ISNUMBER(SEARCH("GENERATOR",K185)),"Generator",IF(ISNUMBER(SEARCH("BOILER",K185)),"Boiler",IF(ISNUMBER(SEARCH("AIR PREHEATER",K185)),"Auxiliary",IF(ISNUMBER(SEARCH("ELECTRICAL",K185)),"Electrical","Other"))))))</f>
        <v/>
      </c>
      <c r="V185" s="9" t="n">
        <f aca="false">AVERAGEIFS(G:G,B:B,B185,H:H,0)</f>
        <v>1.67955555555556</v>
      </c>
      <c r="W185" s="9" t="n">
        <f aca="false">IF(P185=1,MAX(0,V185-G185),0)</f>
        <v>0</v>
      </c>
    </row>
    <row r="186" customFormat="false" ht="15" hidden="false" customHeight="false" outlineLevel="0" collapsed="false">
      <c r="A186" s="8" t="n">
        <v>46205</v>
      </c>
      <c r="B186" s="9" t="n">
        <v>3</v>
      </c>
      <c r="C186" s="9" t="str">
        <f aca="false">"Unit "&amp;B186</f>
        <v>Unit 3</v>
      </c>
      <c r="D186" s="9"/>
      <c r="E186" s="9" t="n">
        <v>210</v>
      </c>
      <c r="F186" s="9" t="n">
        <v>3.67</v>
      </c>
      <c r="G186" s="9" t="n">
        <v>3.82</v>
      </c>
      <c r="H186" s="9" t="n">
        <v>0</v>
      </c>
      <c r="I186" s="9"/>
      <c r="J186" s="9"/>
      <c r="K186" s="9"/>
      <c r="L186" s="9" t="n">
        <f aca="false">E186*24/1000</f>
        <v>5.04</v>
      </c>
      <c r="M186" s="10" t="n">
        <f aca="false">G186/L186</f>
        <v>0.757936507936508</v>
      </c>
      <c r="N186" s="9" t="n">
        <f aca="false">G186-F186</f>
        <v>0.15</v>
      </c>
      <c r="O186" s="10" t="n">
        <f aca="false">IF(F186=0,"",G186/F186)</f>
        <v>1.0408719346049</v>
      </c>
      <c r="P186" s="9" t="n">
        <f aca="false">IF(H186&gt;0,1,0)</f>
        <v>0</v>
      </c>
      <c r="Q186" s="9" t="n">
        <f aca="false">IF(G186=0,1,0)</f>
        <v>0</v>
      </c>
      <c r="R186" s="9" t="str">
        <f aca="false">TEXT(A186,"mmm")</f>
        <v>Jul</v>
      </c>
      <c r="S186" s="9" t="n">
        <f aca="false">WEEKNUM(A186,2)</f>
        <v>27</v>
      </c>
      <c r="T186" s="9" t="str">
        <f aca="false">IF(A186&lt;DATE(2026,6,30),"1-Pre-outage",IF(A186&lt;DATE(2026,7,5),"2-Transition","3-Outage-heavy"))</f>
        <v>2-Transition</v>
      </c>
      <c r="U186" s="9" t="str">
        <f aca="false">IF(K186="","",IF(ISNUMBER(SEARCH("TURBINE",K186)),"Turbine",IF(ISNUMBER(SEARCH("GENERATOR",K186)),"Generator",IF(ISNUMBER(SEARCH("BOILER",K186)),"Boiler",IF(ISNUMBER(SEARCH("AIR PREHEATER",K186)),"Auxiliary",IF(ISNUMBER(SEARCH("ELECTRICAL",K186)),"Electrical","Other"))))))</f>
        <v/>
      </c>
      <c r="V186" s="9" t="n">
        <f aca="false">AVERAGEIFS(G:G,B:B,B186,H:H,0)</f>
        <v>3.72697674418605</v>
      </c>
      <c r="W186" s="9" t="n">
        <f aca="false">IF(P186=1,MAX(0,V186-G186),0)</f>
        <v>0</v>
      </c>
    </row>
    <row r="187" customFormat="false" ht="15" hidden="false" customHeight="false" outlineLevel="0" collapsed="false">
      <c r="A187" s="8" t="n">
        <v>46205</v>
      </c>
      <c r="B187" s="9" t="n">
        <v>4</v>
      </c>
      <c r="C187" s="9" t="str">
        <f aca="false">"Unit "&amp;B187</f>
        <v>Unit 4</v>
      </c>
      <c r="D187" s="9"/>
      <c r="E187" s="9" t="n">
        <v>210</v>
      </c>
      <c r="F187" s="9" t="n">
        <v>0</v>
      </c>
      <c r="G187" s="9" t="n">
        <v>3.58</v>
      </c>
      <c r="H187" s="9" t="n">
        <v>0</v>
      </c>
      <c r="I187" s="9"/>
      <c r="J187" s="9"/>
      <c r="K187" s="9"/>
      <c r="L187" s="9" t="n">
        <f aca="false">E187*24/1000</f>
        <v>5.04</v>
      </c>
      <c r="M187" s="10" t="n">
        <f aca="false">G187/L187</f>
        <v>0.71031746031746</v>
      </c>
      <c r="N187" s="9" t="n">
        <f aca="false">G187-F187</f>
        <v>3.58</v>
      </c>
      <c r="O187" s="10" t="str">
        <f aca="false">IF(F187=0,"",G187/F187)</f>
        <v/>
      </c>
      <c r="P187" s="9" t="n">
        <f aca="false">IF(H187&gt;0,1,0)</f>
        <v>0</v>
      </c>
      <c r="Q187" s="9" t="n">
        <f aca="false">IF(G187=0,1,0)</f>
        <v>0</v>
      </c>
      <c r="R187" s="9" t="str">
        <f aca="false">TEXT(A187,"mmm")</f>
        <v>Jul</v>
      </c>
      <c r="S187" s="9" t="n">
        <f aca="false">WEEKNUM(A187,2)</f>
        <v>27</v>
      </c>
      <c r="T187" s="9" t="str">
        <f aca="false">IF(A187&lt;DATE(2026,6,30),"1-Pre-outage",IF(A187&lt;DATE(2026,7,5),"2-Transition","3-Outage-heavy"))</f>
        <v>2-Transition</v>
      </c>
      <c r="U187" s="9" t="str">
        <f aca="false">IF(K187="","",IF(ISNUMBER(SEARCH("TURBINE",K187)),"Turbine",IF(ISNUMBER(SEARCH("GENERATOR",K187)),"Generator",IF(ISNUMBER(SEARCH("BOILER",K187)),"Boiler",IF(ISNUMBER(SEARCH("AIR PREHEATER",K187)),"Auxiliary",IF(ISNUMBER(SEARCH("ELECTRICAL",K187)),"Electrical","Other"))))))</f>
        <v/>
      </c>
      <c r="V187" s="9" t="n">
        <f aca="false">AVERAGEIFS(G:G,B:B,B187,H:H,0)</f>
        <v>3.53586206896552</v>
      </c>
      <c r="W187" s="9" t="n">
        <f aca="false">IF(P187=1,MAX(0,V187-G187),0)</f>
        <v>0</v>
      </c>
    </row>
    <row r="188" customFormat="false" ht="15" hidden="false" customHeight="false" outlineLevel="0" collapsed="false">
      <c r="A188" s="8" t="n">
        <v>46205</v>
      </c>
      <c r="B188" s="9" t="n">
        <v>5</v>
      </c>
      <c r="C188" s="9" t="str">
        <f aca="false">"Unit "&amp;B188</f>
        <v>Unit 5</v>
      </c>
      <c r="D188" s="9"/>
      <c r="E188" s="9" t="n">
        <v>210</v>
      </c>
      <c r="F188" s="9" t="n">
        <v>3.81</v>
      </c>
      <c r="G188" s="9" t="n">
        <v>4.08</v>
      </c>
      <c r="H188" s="9" t="n">
        <v>0</v>
      </c>
      <c r="I188" s="9"/>
      <c r="J188" s="9"/>
      <c r="K188" s="9"/>
      <c r="L188" s="9" t="n">
        <f aca="false">E188*24/1000</f>
        <v>5.04</v>
      </c>
      <c r="M188" s="10" t="n">
        <f aca="false">G188/L188</f>
        <v>0.80952380952381</v>
      </c>
      <c r="N188" s="9" t="n">
        <f aca="false">G188-F188</f>
        <v>0.27</v>
      </c>
      <c r="O188" s="10" t="n">
        <f aca="false">IF(F188=0,"",G188/F188)</f>
        <v>1.07086614173228</v>
      </c>
      <c r="P188" s="9" t="n">
        <f aca="false">IF(H188&gt;0,1,0)</f>
        <v>0</v>
      </c>
      <c r="Q188" s="9" t="n">
        <f aca="false">IF(G188=0,1,0)</f>
        <v>0</v>
      </c>
      <c r="R188" s="9" t="str">
        <f aca="false">TEXT(A188,"mmm")</f>
        <v>Jul</v>
      </c>
      <c r="S188" s="9" t="n">
        <f aca="false">WEEKNUM(A188,2)</f>
        <v>27</v>
      </c>
      <c r="T188" s="9" t="str">
        <f aca="false">IF(A188&lt;DATE(2026,6,30),"1-Pre-outage",IF(A188&lt;DATE(2026,7,5),"2-Transition","3-Outage-heavy"))</f>
        <v>2-Transition</v>
      </c>
      <c r="U188" s="9" t="str">
        <f aca="false">IF(K188="","",IF(ISNUMBER(SEARCH("TURBINE",K188)),"Turbine",IF(ISNUMBER(SEARCH("GENERATOR",K188)),"Generator",IF(ISNUMBER(SEARCH("BOILER",K188)),"Boiler",IF(ISNUMBER(SEARCH("AIR PREHEATER",K188)),"Auxiliary",IF(ISNUMBER(SEARCH("ELECTRICAL",K188)),"Electrical","Other"))))))</f>
        <v/>
      </c>
      <c r="V188" s="9" t="n">
        <f aca="false">AVERAGEIFS(G:G,B:B,B188,H:H,0)</f>
        <v>3.98888888888889</v>
      </c>
      <c r="W188" s="9" t="n">
        <f aca="false">IF(P188=1,MAX(0,V188-G188),0)</f>
        <v>0</v>
      </c>
    </row>
    <row r="189" customFormat="false" ht="15" hidden="false" customHeight="false" outlineLevel="0" collapsed="false">
      <c r="A189" s="8" t="n">
        <v>46205</v>
      </c>
      <c r="B189" s="9" t="n">
        <v>6</v>
      </c>
      <c r="C189" s="9" t="str">
        <f aca="false">"Unit "&amp;B189</f>
        <v>Unit 6</v>
      </c>
      <c r="D189" s="9"/>
      <c r="E189" s="9" t="n">
        <v>195</v>
      </c>
      <c r="F189" s="9" t="n">
        <v>3.84</v>
      </c>
      <c r="G189" s="9" t="n">
        <v>3.85</v>
      </c>
      <c r="H189" s="9" t="n">
        <v>0</v>
      </c>
      <c r="I189" s="9"/>
      <c r="J189" s="9"/>
      <c r="K189" s="9"/>
      <c r="L189" s="9" t="n">
        <f aca="false">E189*24/1000</f>
        <v>4.68</v>
      </c>
      <c r="M189" s="10" t="n">
        <f aca="false">G189/L189</f>
        <v>0.822649572649573</v>
      </c>
      <c r="N189" s="9" t="n">
        <f aca="false">G189-F189</f>
        <v>0.0100000000000002</v>
      </c>
      <c r="O189" s="10" t="n">
        <f aca="false">IF(F189=0,"",G189/F189)</f>
        <v>1.00260416666667</v>
      </c>
      <c r="P189" s="9" t="n">
        <f aca="false">IF(H189&gt;0,1,0)</f>
        <v>0</v>
      </c>
      <c r="Q189" s="9" t="n">
        <f aca="false">IF(G189=0,1,0)</f>
        <v>0</v>
      </c>
      <c r="R189" s="9" t="str">
        <f aca="false">TEXT(A189,"mmm")</f>
        <v>Jul</v>
      </c>
      <c r="S189" s="9" t="n">
        <f aca="false">WEEKNUM(A189,2)</f>
        <v>27</v>
      </c>
      <c r="T189" s="9" t="str">
        <f aca="false">IF(A189&lt;DATE(2026,6,30),"1-Pre-outage",IF(A189&lt;DATE(2026,7,5),"2-Transition","3-Outage-heavy"))</f>
        <v>2-Transition</v>
      </c>
      <c r="U189" s="9" t="str">
        <f aca="false">IF(K189="","",IF(ISNUMBER(SEARCH("TURBINE",K189)),"Turbine",IF(ISNUMBER(SEARCH("GENERATOR",K189)),"Generator",IF(ISNUMBER(SEARCH("BOILER",K189)),"Boiler",IF(ISNUMBER(SEARCH("AIR PREHEATER",K189)),"Auxiliary",IF(ISNUMBER(SEARCH("ELECTRICAL",K189)),"Electrical","Other"))))))</f>
        <v/>
      </c>
      <c r="V189" s="9" t="n">
        <f aca="false">AVERAGEIFS(G:G,B:B,B189,H:H,0)</f>
        <v>3.85377777777778</v>
      </c>
      <c r="W189" s="9" t="n">
        <f aca="false">IF(P189=1,MAX(0,V189-G189),0)</f>
        <v>0</v>
      </c>
    </row>
    <row r="190" customFormat="false" ht="15" hidden="false" customHeight="false" outlineLevel="0" collapsed="false">
      <c r="A190" s="8" t="n">
        <v>46205</v>
      </c>
      <c r="B190" s="9" t="n">
        <v>7</v>
      </c>
      <c r="C190" s="9" t="str">
        <f aca="false">"Unit "&amp;B190</f>
        <v>Unit 7</v>
      </c>
      <c r="D190" s="9"/>
      <c r="E190" s="9" t="n">
        <v>195</v>
      </c>
      <c r="F190" s="9" t="n">
        <v>0</v>
      </c>
      <c r="G190" s="9" t="n">
        <v>4.07</v>
      </c>
      <c r="H190" s="9" t="n">
        <v>0</v>
      </c>
      <c r="I190" s="9"/>
      <c r="J190" s="9"/>
      <c r="K190" s="9"/>
      <c r="L190" s="9" t="n">
        <f aca="false">E190*24/1000</f>
        <v>4.68</v>
      </c>
      <c r="M190" s="10" t="n">
        <f aca="false">G190/L190</f>
        <v>0.86965811965812</v>
      </c>
      <c r="N190" s="9" t="n">
        <f aca="false">G190-F190</f>
        <v>4.07</v>
      </c>
      <c r="O190" s="10" t="str">
        <f aca="false">IF(F190=0,"",G190/F190)</f>
        <v/>
      </c>
      <c r="P190" s="9" t="n">
        <f aca="false">IF(H190&gt;0,1,0)</f>
        <v>0</v>
      </c>
      <c r="Q190" s="9" t="n">
        <f aca="false">IF(G190=0,1,0)</f>
        <v>0</v>
      </c>
      <c r="R190" s="9" t="str">
        <f aca="false">TEXT(A190,"mmm")</f>
        <v>Jul</v>
      </c>
      <c r="S190" s="9" t="n">
        <f aca="false">WEEKNUM(A190,2)</f>
        <v>27</v>
      </c>
      <c r="T190" s="9" t="str">
        <f aca="false">IF(A190&lt;DATE(2026,6,30),"1-Pre-outage",IF(A190&lt;DATE(2026,7,5),"2-Transition","3-Outage-heavy"))</f>
        <v>2-Transition</v>
      </c>
      <c r="U190" s="9" t="str">
        <f aca="false">IF(K190="","",IF(ISNUMBER(SEARCH("TURBINE",K190)),"Turbine",IF(ISNUMBER(SEARCH("GENERATOR",K190)),"Generator",IF(ISNUMBER(SEARCH("BOILER",K190)),"Boiler",IF(ISNUMBER(SEARCH("AIR PREHEATER",K190)),"Auxiliary",IF(ISNUMBER(SEARCH("ELECTRICAL",K190)),"Electrical","Other"))))))</f>
        <v/>
      </c>
      <c r="V190" s="9" t="n">
        <f aca="false">AVERAGEIFS(G:G,B:B,B190,H:H,0)</f>
        <v>3.98375</v>
      </c>
      <c r="W190" s="9" t="n">
        <f aca="false">IF(P190=1,MAX(0,V190-G190),0)</f>
        <v>0</v>
      </c>
    </row>
    <row r="191" customFormat="false" ht="15" hidden="false" customHeight="false" outlineLevel="0" collapsed="false">
      <c r="A191" s="8" t="n">
        <v>46206</v>
      </c>
      <c r="B191" s="9" t="n">
        <v>1</v>
      </c>
      <c r="C191" s="9" t="str">
        <f aca="false">"Unit "&amp;B191</f>
        <v>Unit 1</v>
      </c>
      <c r="D191" s="9"/>
      <c r="E191" s="9" t="n">
        <v>110</v>
      </c>
      <c r="F191" s="9" t="n">
        <v>1.84</v>
      </c>
      <c r="G191" s="9" t="n">
        <v>1.54</v>
      </c>
      <c r="H191" s="9" t="n">
        <v>0</v>
      </c>
      <c r="I191" s="9"/>
      <c r="J191" s="9"/>
      <c r="K191" s="9"/>
      <c r="L191" s="9" t="n">
        <f aca="false">E191*24/1000</f>
        <v>2.64</v>
      </c>
      <c r="M191" s="10" t="n">
        <f aca="false">G191/L191</f>
        <v>0.583333333333333</v>
      </c>
      <c r="N191" s="9" t="n">
        <f aca="false">G191-F191</f>
        <v>-0.3</v>
      </c>
      <c r="O191" s="10" t="n">
        <f aca="false">IF(F191=0,"",G191/F191)</f>
        <v>0.83695652173913</v>
      </c>
      <c r="P191" s="9" t="n">
        <f aca="false">IF(H191&gt;0,1,0)</f>
        <v>0</v>
      </c>
      <c r="Q191" s="9" t="n">
        <f aca="false">IF(G191=0,1,0)</f>
        <v>0</v>
      </c>
      <c r="R191" s="9" t="str">
        <f aca="false">TEXT(A191,"mmm")</f>
        <v>Jul</v>
      </c>
      <c r="S191" s="9" t="n">
        <f aca="false">WEEKNUM(A191,2)</f>
        <v>27</v>
      </c>
      <c r="T191" s="9" t="str">
        <f aca="false">IF(A191&lt;DATE(2026,6,30),"1-Pre-outage",IF(A191&lt;DATE(2026,7,5),"2-Transition","3-Outage-heavy"))</f>
        <v>2-Transition</v>
      </c>
      <c r="U191" s="9" t="str">
        <f aca="false">IF(K191="","",IF(ISNUMBER(SEARCH("TURBINE",K191)),"Turbine",IF(ISNUMBER(SEARCH("GENERATOR",K191)),"Generator",IF(ISNUMBER(SEARCH("BOILER",K191)),"Boiler",IF(ISNUMBER(SEARCH("AIR PREHEATER",K191)),"Auxiliary",IF(ISNUMBER(SEARCH("ELECTRICAL",K191)),"Electrical","Other"))))))</f>
        <v/>
      </c>
      <c r="V191" s="9" t="n">
        <f aca="false">AVERAGEIFS(G:G,B:B,B191,H:H,0)</f>
        <v>1.61181818181818</v>
      </c>
      <c r="W191" s="9" t="n">
        <f aca="false">IF(P191=1,MAX(0,V191-G191),0)</f>
        <v>0</v>
      </c>
    </row>
    <row r="192" customFormat="false" ht="15" hidden="false" customHeight="false" outlineLevel="0" collapsed="false">
      <c r="A192" s="8" t="n">
        <v>46206</v>
      </c>
      <c r="B192" s="9" t="n">
        <v>2</v>
      </c>
      <c r="C192" s="9" t="str">
        <f aca="false">"Unit "&amp;B192</f>
        <v>Unit 2</v>
      </c>
      <c r="D192" s="9"/>
      <c r="E192" s="9" t="n">
        <v>110</v>
      </c>
      <c r="F192" s="9" t="n">
        <v>1.87</v>
      </c>
      <c r="G192" s="9" t="n">
        <v>1.58</v>
      </c>
      <c r="H192" s="9" t="n">
        <v>0</v>
      </c>
      <c r="I192" s="9"/>
      <c r="J192" s="9"/>
      <c r="K192" s="9"/>
      <c r="L192" s="9" t="n">
        <f aca="false">E192*24/1000</f>
        <v>2.64</v>
      </c>
      <c r="M192" s="10" t="n">
        <f aca="false">G192/L192</f>
        <v>0.598484848484849</v>
      </c>
      <c r="N192" s="9" t="n">
        <f aca="false">G192-F192</f>
        <v>-0.29</v>
      </c>
      <c r="O192" s="10" t="n">
        <f aca="false">IF(F192=0,"",G192/F192)</f>
        <v>0.844919786096257</v>
      </c>
      <c r="P192" s="9" t="n">
        <f aca="false">IF(H192&gt;0,1,0)</f>
        <v>0</v>
      </c>
      <c r="Q192" s="9" t="n">
        <f aca="false">IF(G192=0,1,0)</f>
        <v>0</v>
      </c>
      <c r="R192" s="9" t="str">
        <f aca="false">TEXT(A192,"mmm")</f>
        <v>Jul</v>
      </c>
      <c r="S192" s="9" t="n">
        <f aca="false">WEEKNUM(A192,2)</f>
        <v>27</v>
      </c>
      <c r="T192" s="9" t="str">
        <f aca="false">IF(A192&lt;DATE(2026,6,30),"1-Pre-outage",IF(A192&lt;DATE(2026,7,5),"2-Transition","3-Outage-heavy"))</f>
        <v>2-Transition</v>
      </c>
      <c r="U192" s="9" t="str">
        <f aca="false">IF(K192="","",IF(ISNUMBER(SEARCH("TURBINE",K192)),"Turbine",IF(ISNUMBER(SEARCH("GENERATOR",K192)),"Generator",IF(ISNUMBER(SEARCH("BOILER",K192)),"Boiler",IF(ISNUMBER(SEARCH("AIR PREHEATER",K192)),"Auxiliary",IF(ISNUMBER(SEARCH("ELECTRICAL",K192)),"Electrical","Other"))))))</f>
        <v/>
      </c>
      <c r="V192" s="9" t="n">
        <f aca="false">AVERAGEIFS(G:G,B:B,B192,H:H,0)</f>
        <v>1.67955555555556</v>
      </c>
      <c r="W192" s="9" t="n">
        <f aca="false">IF(P192=1,MAX(0,V192-G192),0)</f>
        <v>0</v>
      </c>
    </row>
    <row r="193" customFormat="false" ht="15" hidden="false" customHeight="false" outlineLevel="0" collapsed="false">
      <c r="A193" s="8" t="n">
        <v>46206</v>
      </c>
      <c r="B193" s="9" t="n">
        <v>3</v>
      </c>
      <c r="C193" s="9" t="str">
        <f aca="false">"Unit "&amp;B193</f>
        <v>Unit 3</v>
      </c>
      <c r="D193" s="9"/>
      <c r="E193" s="9" t="n">
        <v>210</v>
      </c>
      <c r="F193" s="9" t="n">
        <v>3.67</v>
      </c>
      <c r="G193" s="9" t="n">
        <v>3.59</v>
      </c>
      <c r="H193" s="9" t="n">
        <v>0</v>
      </c>
      <c r="I193" s="9"/>
      <c r="J193" s="9"/>
      <c r="K193" s="9"/>
      <c r="L193" s="9" t="n">
        <f aca="false">E193*24/1000</f>
        <v>5.04</v>
      </c>
      <c r="M193" s="10" t="n">
        <f aca="false">G193/L193</f>
        <v>0.712301587301587</v>
      </c>
      <c r="N193" s="9" t="n">
        <f aca="false">G193-F193</f>
        <v>-0.0800000000000001</v>
      </c>
      <c r="O193" s="10" t="n">
        <f aca="false">IF(F193=0,"",G193/F193)</f>
        <v>0.978201634877384</v>
      </c>
      <c r="P193" s="9" t="n">
        <f aca="false">IF(H193&gt;0,1,0)</f>
        <v>0</v>
      </c>
      <c r="Q193" s="9" t="n">
        <f aca="false">IF(G193=0,1,0)</f>
        <v>0</v>
      </c>
      <c r="R193" s="9" t="str">
        <f aca="false">TEXT(A193,"mmm")</f>
        <v>Jul</v>
      </c>
      <c r="S193" s="9" t="n">
        <f aca="false">WEEKNUM(A193,2)</f>
        <v>27</v>
      </c>
      <c r="T193" s="9" t="str">
        <f aca="false">IF(A193&lt;DATE(2026,6,30),"1-Pre-outage",IF(A193&lt;DATE(2026,7,5),"2-Transition","3-Outage-heavy"))</f>
        <v>2-Transition</v>
      </c>
      <c r="U193" s="9" t="str">
        <f aca="false">IF(K193="","",IF(ISNUMBER(SEARCH("TURBINE",K193)),"Turbine",IF(ISNUMBER(SEARCH("GENERATOR",K193)),"Generator",IF(ISNUMBER(SEARCH("BOILER",K193)),"Boiler",IF(ISNUMBER(SEARCH("AIR PREHEATER",K193)),"Auxiliary",IF(ISNUMBER(SEARCH("ELECTRICAL",K193)),"Electrical","Other"))))))</f>
        <v/>
      </c>
      <c r="V193" s="9" t="n">
        <f aca="false">AVERAGEIFS(G:G,B:B,B193,H:H,0)</f>
        <v>3.72697674418605</v>
      </c>
      <c r="W193" s="9" t="n">
        <f aca="false">IF(P193=1,MAX(0,V193-G193),0)</f>
        <v>0</v>
      </c>
    </row>
    <row r="194" customFormat="false" ht="15" hidden="false" customHeight="false" outlineLevel="0" collapsed="false">
      <c r="A194" s="8" t="n">
        <v>46206</v>
      </c>
      <c r="B194" s="9" t="n">
        <v>4</v>
      </c>
      <c r="C194" s="9" t="str">
        <f aca="false">"Unit "&amp;B194</f>
        <v>Unit 4</v>
      </c>
      <c r="D194" s="9"/>
      <c r="E194" s="9" t="n">
        <v>210</v>
      </c>
      <c r="F194" s="9" t="n">
        <v>0</v>
      </c>
      <c r="G194" s="9" t="n">
        <v>3.17</v>
      </c>
      <c r="H194" s="9" t="n">
        <v>0</v>
      </c>
      <c r="I194" s="9"/>
      <c r="J194" s="9"/>
      <c r="K194" s="9"/>
      <c r="L194" s="9" t="n">
        <f aca="false">E194*24/1000</f>
        <v>5.04</v>
      </c>
      <c r="M194" s="10" t="n">
        <f aca="false">G194/L194</f>
        <v>0.628968253968254</v>
      </c>
      <c r="N194" s="9" t="n">
        <f aca="false">G194-F194</f>
        <v>3.17</v>
      </c>
      <c r="O194" s="10" t="str">
        <f aca="false">IF(F194=0,"",G194/F194)</f>
        <v/>
      </c>
      <c r="P194" s="9" t="n">
        <f aca="false">IF(H194&gt;0,1,0)</f>
        <v>0</v>
      </c>
      <c r="Q194" s="9" t="n">
        <f aca="false">IF(G194=0,1,0)</f>
        <v>0</v>
      </c>
      <c r="R194" s="9" t="str">
        <f aca="false">TEXT(A194,"mmm")</f>
        <v>Jul</v>
      </c>
      <c r="S194" s="9" t="n">
        <f aca="false">WEEKNUM(A194,2)</f>
        <v>27</v>
      </c>
      <c r="T194" s="9" t="str">
        <f aca="false">IF(A194&lt;DATE(2026,6,30),"1-Pre-outage",IF(A194&lt;DATE(2026,7,5),"2-Transition","3-Outage-heavy"))</f>
        <v>2-Transition</v>
      </c>
      <c r="U194" s="9" t="str">
        <f aca="false">IF(K194="","",IF(ISNUMBER(SEARCH("TURBINE",K194)),"Turbine",IF(ISNUMBER(SEARCH("GENERATOR",K194)),"Generator",IF(ISNUMBER(SEARCH("BOILER",K194)),"Boiler",IF(ISNUMBER(SEARCH("AIR PREHEATER",K194)),"Auxiliary",IF(ISNUMBER(SEARCH("ELECTRICAL",K194)),"Electrical","Other"))))))</f>
        <v/>
      </c>
      <c r="V194" s="9" t="n">
        <f aca="false">AVERAGEIFS(G:G,B:B,B194,H:H,0)</f>
        <v>3.53586206896552</v>
      </c>
      <c r="W194" s="9" t="n">
        <f aca="false">IF(P194=1,MAX(0,V194-G194),0)</f>
        <v>0</v>
      </c>
    </row>
    <row r="195" customFormat="false" ht="15" hidden="false" customHeight="false" outlineLevel="0" collapsed="false">
      <c r="A195" s="8" t="n">
        <v>46206</v>
      </c>
      <c r="B195" s="9" t="n">
        <v>5</v>
      </c>
      <c r="C195" s="9" t="str">
        <f aca="false">"Unit "&amp;B195</f>
        <v>Unit 5</v>
      </c>
      <c r="D195" s="9"/>
      <c r="E195" s="9" t="n">
        <v>210</v>
      </c>
      <c r="F195" s="9" t="n">
        <v>3.81</v>
      </c>
      <c r="G195" s="9" t="n">
        <v>3.88</v>
      </c>
      <c r="H195" s="9" t="n">
        <v>0</v>
      </c>
      <c r="I195" s="9"/>
      <c r="J195" s="9"/>
      <c r="K195" s="9"/>
      <c r="L195" s="9" t="n">
        <f aca="false">E195*24/1000</f>
        <v>5.04</v>
      </c>
      <c r="M195" s="10" t="n">
        <f aca="false">G195/L195</f>
        <v>0.76984126984127</v>
      </c>
      <c r="N195" s="9" t="n">
        <f aca="false">G195-F195</f>
        <v>0.0699999999999998</v>
      </c>
      <c r="O195" s="10" t="n">
        <f aca="false">IF(F195=0,"",G195/F195)</f>
        <v>1.01837270341207</v>
      </c>
      <c r="P195" s="9" t="n">
        <f aca="false">IF(H195&gt;0,1,0)</f>
        <v>0</v>
      </c>
      <c r="Q195" s="9" t="n">
        <f aca="false">IF(G195=0,1,0)</f>
        <v>0</v>
      </c>
      <c r="R195" s="9" t="str">
        <f aca="false">TEXT(A195,"mmm")</f>
        <v>Jul</v>
      </c>
      <c r="S195" s="9" t="n">
        <f aca="false">WEEKNUM(A195,2)</f>
        <v>27</v>
      </c>
      <c r="T195" s="9" t="str">
        <f aca="false">IF(A195&lt;DATE(2026,6,30),"1-Pre-outage",IF(A195&lt;DATE(2026,7,5),"2-Transition","3-Outage-heavy"))</f>
        <v>2-Transition</v>
      </c>
      <c r="U195" s="9" t="str">
        <f aca="false">IF(K195="","",IF(ISNUMBER(SEARCH("TURBINE",K195)),"Turbine",IF(ISNUMBER(SEARCH("GENERATOR",K195)),"Generator",IF(ISNUMBER(SEARCH("BOILER",K195)),"Boiler",IF(ISNUMBER(SEARCH("AIR PREHEATER",K195)),"Auxiliary",IF(ISNUMBER(SEARCH("ELECTRICAL",K195)),"Electrical","Other"))))))</f>
        <v/>
      </c>
      <c r="V195" s="9" t="n">
        <f aca="false">AVERAGEIFS(G:G,B:B,B195,H:H,0)</f>
        <v>3.98888888888889</v>
      </c>
      <c r="W195" s="9" t="n">
        <f aca="false">IF(P195=1,MAX(0,V195-G195),0)</f>
        <v>0</v>
      </c>
    </row>
    <row r="196" customFormat="false" ht="15" hidden="false" customHeight="false" outlineLevel="0" collapsed="false">
      <c r="A196" s="8" t="n">
        <v>46206</v>
      </c>
      <c r="B196" s="9" t="n">
        <v>6</v>
      </c>
      <c r="C196" s="9" t="str">
        <f aca="false">"Unit "&amp;B196</f>
        <v>Unit 6</v>
      </c>
      <c r="D196" s="9"/>
      <c r="E196" s="9" t="n">
        <v>195</v>
      </c>
      <c r="F196" s="9" t="n">
        <v>3.84</v>
      </c>
      <c r="G196" s="9" t="n">
        <v>3.84</v>
      </c>
      <c r="H196" s="9" t="n">
        <v>0</v>
      </c>
      <c r="I196" s="9"/>
      <c r="J196" s="9"/>
      <c r="K196" s="9"/>
      <c r="L196" s="9" t="n">
        <f aca="false">E196*24/1000</f>
        <v>4.68</v>
      </c>
      <c r="M196" s="10" t="n">
        <f aca="false">G196/L196</f>
        <v>0.820512820512821</v>
      </c>
      <c r="N196" s="9" t="n">
        <f aca="false">G196-F196</f>
        <v>0</v>
      </c>
      <c r="O196" s="10" t="n">
        <f aca="false">IF(F196=0,"",G196/F196)</f>
        <v>1</v>
      </c>
      <c r="P196" s="9" t="n">
        <f aca="false">IF(H196&gt;0,1,0)</f>
        <v>0</v>
      </c>
      <c r="Q196" s="9" t="n">
        <f aca="false">IF(G196=0,1,0)</f>
        <v>0</v>
      </c>
      <c r="R196" s="9" t="str">
        <f aca="false">TEXT(A196,"mmm")</f>
        <v>Jul</v>
      </c>
      <c r="S196" s="9" t="n">
        <f aca="false">WEEKNUM(A196,2)</f>
        <v>27</v>
      </c>
      <c r="T196" s="9" t="str">
        <f aca="false">IF(A196&lt;DATE(2026,6,30),"1-Pre-outage",IF(A196&lt;DATE(2026,7,5),"2-Transition","3-Outage-heavy"))</f>
        <v>2-Transition</v>
      </c>
      <c r="U196" s="9" t="str">
        <f aca="false">IF(K196="","",IF(ISNUMBER(SEARCH("TURBINE",K196)),"Turbine",IF(ISNUMBER(SEARCH("GENERATOR",K196)),"Generator",IF(ISNUMBER(SEARCH("BOILER",K196)),"Boiler",IF(ISNUMBER(SEARCH("AIR PREHEATER",K196)),"Auxiliary",IF(ISNUMBER(SEARCH("ELECTRICAL",K196)),"Electrical","Other"))))))</f>
        <v/>
      </c>
      <c r="V196" s="9" t="n">
        <f aca="false">AVERAGEIFS(G:G,B:B,B196,H:H,0)</f>
        <v>3.85377777777778</v>
      </c>
      <c r="W196" s="9" t="n">
        <f aca="false">IF(P196=1,MAX(0,V196-G196),0)</f>
        <v>0</v>
      </c>
    </row>
    <row r="197" customFormat="false" ht="15" hidden="false" customHeight="false" outlineLevel="0" collapsed="false">
      <c r="A197" s="8" t="n">
        <v>46206</v>
      </c>
      <c r="B197" s="9" t="n">
        <v>7</v>
      </c>
      <c r="C197" s="9" t="str">
        <f aca="false">"Unit "&amp;B197</f>
        <v>Unit 7</v>
      </c>
      <c r="D197" s="9"/>
      <c r="E197" s="9" t="n">
        <v>195</v>
      </c>
      <c r="F197" s="9" t="n">
        <v>0</v>
      </c>
      <c r="G197" s="9" t="n">
        <v>3.96</v>
      </c>
      <c r="H197" s="9" t="n">
        <v>0</v>
      </c>
      <c r="I197" s="9"/>
      <c r="J197" s="9"/>
      <c r="K197" s="9"/>
      <c r="L197" s="9" t="n">
        <f aca="false">E197*24/1000</f>
        <v>4.68</v>
      </c>
      <c r="M197" s="10" t="n">
        <f aca="false">G197/L197</f>
        <v>0.846153846153846</v>
      </c>
      <c r="N197" s="9" t="n">
        <f aca="false">G197-F197</f>
        <v>3.96</v>
      </c>
      <c r="O197" s="10" t="str">
        <f aca="false">IF(F197=0,"",G197/F197)</f>
        <v/>
      </c>
      <c r="P197" s="9" t="n">
        <f aca="false">IF(H197&gt;0,1,0)</f>
        <v>0</v>
      </c>
      <c r="Q197" s="9" t="n">
        <f aca="false">IF(G197=0,1,0)</f>
        <v>0</v>
      </c>
      <c r="R197" s="9" t="str">
        <f aca="false">TEXT(A197,"mmm")</f>
        <v>Jul</v>
      </c>
      <c r="S197" s="9" t="n">
        <f aca="false">WEEKNUM(A197,2)</f>
        <v>27</v>
      </c>
      <c r="T197" s="9" t="str">
        <f aca="false">IF(A197&lt;DATE(2026,6,30),"1-Pre-outage",IF(A197&lt;DATE(2026,7,5),"2-Transition","3-Outage-heavy"))</f>
        <v>2-Transition</v>
      </c>
      <c r="U197" s="9" t="str">
        <f aca="false">IF(K197="","",IF(ISNUMBER(SEARCH("TURBINE",K197)),"Turbine",IF(ISNUMBER(SEARCH("GENERATOR",K197)),"Generator",IF(ISNUMBER(SEARCH("BOILER",K197)),"Boiler",IF(ISNUMBER(SEARCH("AIR PREHEATER",K197)),"Auxiliary",IF(ISNUMBER(SEARCH("ELECTRICAL",K197)),"Electrical","Other"))))))</f>
        <v/>
      </c>
      <c r="V197" s="9" t="n">
        <f aca="false">AVERAGEIFS(G:G,B:B,B197,H:H,0)</f>
        <v>3.98375</v>
      </c>
      <c r="W197" s="9" t="n">
        <f aca="false">IF(P197=1,MAX(0,V197-G197),0)</f>
        <v>0</v>
      </c>
    </row>
    <row r="198" customFormat="false" ht="15" hidden="false" customHeight="false" outlineLevel="0" collapsed="false">
      <c r="A198" s="8" t="n">
        <v>46207</v>
      </c>
      <c r="B198" s="9" t="n">
        <v>1</v>
      </c>
      <c r="C198" s="9" t="str">
        <f aca="false">"Unit "&amp;B198</f>
        <v>Unit 1</v>
      </c>
      <c r="D198" s="9"/>
      <c r="E198" s="9" t="n">
        <v>110</v>
      </c>
      <c r="F198" s="9" t="n">
        <v>1.84</v>
      </c>
      <c r="G198" s="9" t="n">
        <v>1.58</v>
      </c>
      <c r="H198" s="9" t="n">
        <v>0</v>
      </c>
      <c r="I198" s="9"/>
      <c r="J198" s="9"/>
      <c r="K198" s="9"/>
      <c r="L198" s="9" t="n">
        <f aca="false">E198*24/1000</f>
        <v>2.64</v>
      </c>
      <c r="M198" s="10" t="n">
        <f aca="false">G198/L198</f>
        <v>0.598484848484849</v>
      </c>
      <c r="N198" s="9" t="n">
        <f aca="false">G198-F198</f>
        <v>-0.26</v>
      </c>
      <c r="O198" s="10" t="n">
        <f aca="false">IF(F198=0,"",G198/F198)</f>
        <v>0.858695652173913</v>
      </c>
      <c r="P198" s="9" t="n">
        <f aca="false">IF(H198&gt;0,1,0)</f>
        <v>0</v>
      </c>
      <c r="Q198" s="9" t="n">
        <f aca="false">IF(G198=0,1,0)</f>
        <v>0</v>
      </c>
      <c r="R198" s="9" t="str">
        <f aca="false">TEXT(A198,"mmm")</f>
        <v>Jul</v>
      </c>
      <c r="S198" s="9" t="n">
        <f aca="false">WEEKNUM(A198,2)</f>
        <v>27</v>
      </c>
      <c r="T198" s="9" t="str">
        <f aca="false">IF(A198&lt;DATE(2026,6,30),"1-Pre-outage",IF(A198&lt;DATE(2026,7,5),"2-Transition","3-Outage-heavy"))</f>
        <v>2-Transition</v>
      </c>
      <c r="U198" s="9" t="str">
        <f aca="false">IF(K198="","",IF(ISNUMBER(SEARCH("TURBINE",K198)),"Turbine",IF(ISNUMBER(SEARCH("GENERATOR",K198)),"Generator",IF(ISNUMBER(SEARCH("BOILER",K198)),"Boiler",IF(ISNUMBER(SEARCH("AIR PREHEATER",K198)),"Auxiliary",IF(ISNUMBER(SEARCH("ELECTRICAL",K198)),"Electrical","Other"))))))</f>
        <v/>
      </c>
      <c r="V198" s="9" t="n">
        <f aca="false">AVERAGEIFS(G:G,B:B,B198,H:H,0)</f>
        <v>1.61181818181818</v>
      </c>
      <c r="W198" s="9" t="n">
        <f aca="false">IF(P198=1,MAX(0,V198-G198),0)</f>
        <v>0</v>
      </c>
    </row>
    <row r="199" customFormat="false" ht="15" hidden="false" customHeight="false" outlineLevel="0" collapsed="false">
      <c r="A199" s="8" t="n">
        <v>46207</v>
      </c>
      <c r="B199" s="9" t="n">
        <v>2</v>
      </c>
      <c r="C199" s="9" t="str">
        <f aca="false">"Unit "&amp;B199</f>
        <v>Unit 2</v>
      </c>
      <c r="D199" s="9"/>
      <c r="E199" s="9" t="n">
        <v>110</v>
      </c>
      <c r="F199" s="9" t="n">
        <v>1.87</v>
      </c>
      <c r="G199" s="9" t="n">
        <v>1.63</v>
      </c>
      <c r="H199" s="9" t="n">
        <v>0</v>
      </c>
      <c r="I199" s="9"/>
      <c r="J199" s="9"/>
      <c r="K199" s="9"/>
      <c r="L199" s="9" t="n">
        <f aca="false">E199*24/1000</f>
        <v>2.64</v>
      </c>
      <c r="M199" s="10" t="n">
        <f aca="false">G199/L199</f>
        <v>0.617424242424242</v>
      </c>
      <c r="N199" s="9" t="n">
        <f aca="false">G199-F199</f>
        <v>-0.24</v>
      </c>
      <c r="O199" s="10" t="n">
        <f aca="false">IF(F199=0,"",G199/F199)</f>
        <v>0.871657754010695</v>
      </c>
      <c r="P199" s="9" t="n">
        <f aca="false">IF(H199&gt;0,1,0)</f>
        <v>0</v>
      </c>
      <c r="Q199" s="9" t="n">
        <f aca="false">IF(G199=0,1,0)</f>
        <v>0</v>
      </c>
      <c r="R199" s="9" t="str">
        <f aca="false">TEXT(A199,"mmm")</f>
        <v>Jul</v>
      </c>
      <c r="S199" s="9" t="n">
        <f aca="false">WEEKNUM(A199,2)</f>
        <v>27</v>
      </c>
      <c r="T199" s="9" t="str">
        <f aca="false">IF(A199&lt;DATE(2026,6,30),"1-Pre-outage",IF(A199&lt;DATE(2026,7,5),"2-Transition","3-Outage-heavy"))</f>
        <v>2-Transition</v>
      </c>
      <c r="U199" s="9" t="str">
        <f aca="false">IF(K199="","",IF(ISNUMBER(SEARCH("TURBINE",K199)),"Turbine",IF(ISNUMBER(SEARCH("GENERATOR",K199)),"Generator",IF(ISNUMBER(SEARCH("BOILER",K199)),"Boiler",IF(ISNUMBER(SEARCH("AIR PREHEATER",K199)),"Auxiliary",IF(ISNUMBER(SEARCH("ELECTRICAL",K199)),"Electrical","Other"))))))</f>
        <v/>
      </c>
      <c r="V199" s="9" t="n">
        <f aca="false">AVERAGEIFS(G:G,B:B,B199,H:H,0)</f>
        <v>1.67955555555556</v>
      </c>
      <c r="W199" s="9" t="n">
        <f aca="false">IF(P199=1,MAX(0,V199-G199),0)</f>
        <v>0</v>
      </c>
    </row>
    <row r="200" customFormat="false" ht="15" hidden="false" customHeight="false" outlineLevel="0" collapsed="false">
      <c r="A200" s="8" t="n">
        <v>46207</v>
      </c>
      <c r="B200" s="9" t="n">
        <v>3</v>
      </c>
      <c r="C200" s="9" t="str">
        <f aca="false">"Unit "&amp;B200</f>
        <v>Unit 3</v>
      </c>
      <c r="D200" s="9"/>
      <c r="E200" s="9" t="n">
        <v>210</v>
      </c>
      <c r="F200" s="9" t="n">
        <v>3.67</v>
      </c>
      <c r="G200" s="9" t="n">
        <v>3.62</v>
      </c>
      <c r="H200" s="9" t="n">
        <v>0</v>
      </c>
      <c r="I200" s="9"/>
      <c r="J200" s="9"/>
      <c r="K200" s="9"/>
      <c r="L200" s="9" t="n">
        <f aca="false">E200*24/1000</f>
        <v>5.04</v>
      </c>
      <c r="M200" s="10" t="n">
        <f aca="false">G200/L200</f>
        <v>0.718253968253968</v>
      </c>
      <c r="N200" s="9" t="n">
        <f aca="false">G200-F200</f>
        <v>-0.0499999999999998</v>
      </c>
      <c r="O200" s="10" t="n">
        <f aca="false">IF(F200=0,"",G200/F200)</f>
        <v>0.986376021798365</v>
      </c>
      <c r="P200" s="9" t="n">
        <f aca="false">IF(H200&gt;0,1,0)</f>
        <v>0</v>
      </c>
      <c r="Q200" s="9" t="n">
        <f aca="false">IF(G200=0,1,0)</f>
        <v>0</v>
      </c>
      <c r="R200" s="9" t="str">
        <f aca="false">TEXT(A200,"mmm")</f>
        <v>Jul</v>
      </c>
      <c r="S200" s="9" t="n">
        <f aca="false">WEEKNUM(A200,2)</f>
        <v>27</v>
      </c>
      <c r="T200" s="9" t="str">
        <f aca="false">IF(A200&lt;DATE(2026,6,30),"1-Pre-outage",IF(A200&lt;DATE(2026,7,5),"2-Transition","3-Outage-heavy"))</f>
        <v>2-Transition</v>
      </c>
      <c r="U200" s="9" t="str">
        <f aca="false">IF(K200="","",IF(ISNUMBER(SEARCH("TURBINE",K200)),"Turbine",IF(ISNUMBER(SEARCH("GENERATOR",K200)),"Generator",IF(ISNUMBER(SEARCH("BOILER",K200)),"Boiler",IF(ISNUMBER(SEARCH("AIR PREHEATER",K200)),"Auxiliary",IF(ISNUMBER(SEARCH("ELECTRICAL",K200)),"Electrical","Other"))))))</f>
        <v/>
      </c>
      <c r="V200" s="9" t="n">
        <f aca="false">AVERAGEIFS(G:G,B:B,B200,H:H,0)</f>
        <v>3.72697674418605</v>
      </c>
      <c r="W200" s="9" t="n">
        <f aca="false">IF(P200=1,MAX(0,V200-G200),0)</f>
        <v>0</v>
      </c>
    </row>
    <row r="201" customFormat="false" ht="15" hidden="false" customHeight="false" outlineLevel="0" collapsed="false">
      <c r="A201" s="8" t="n">
        <v>46207</v>
      </c>
      <c r="B201" s="9" t="n">
        <v>4</v>
      </c>
      <c r="C201" s="9" t="str">
        <f aca="false">"Unit "&amp;B201</f>
        <v>Unit 4</v>
      </c>
      <c r="D201" s="9"/>
      <c r="E201" s="9" t="n">
        <v>210</v>
      </c>
      <c r="F201" s="9" t="n">
        <v>0</v>
      </c>
      <c r="G201" s="9" t="n">
        <v>3.25</v>
      </c>
      <c r="H201" s="9" t="n">
        <v>0</v>
      </c>
      <c r="I201" s="9"/>
      <c r="J201" s="9"/>
      <c r="K201" s="9"/>
      <c r="L201" s="9" t="n">
        <f aca="false">E201*24/1000</f>
        <v>5.04</v>
      </c>
      <c r="M201" s="10" t="n">
        <f aca="false">G201/L201</f>
        <v>0.64484126984127</v>
      </c>
      <c r="N201" s="9" t="n">
        <f aca="false">G201-F201</f>
        <v>3.25</v>
      </c>
      <c r="O201" s="10" t="str">
        <f aca="false">IF(F201=0,"",G201/F201)</f>
        <v/>
      </c>
      <c r="P201" s="9" t="n">
        <f aca="false">IF(H201&gt;0,1,0)</f>
        <v>0</v>
      </c>
      <c r="Q201" s="9" t="n">
        <f aca="false">IF(G201=0,1,0)</f>
        <v>0</v>
      </c>
      <c r="R201" s="9" t="str">
        <f aca="false">TEXT(A201,"mmm")</f>
        <v>Jul</v>
      </c>
      <c r="S201" s="9" t="n">
        <f aca="false">WEEKNUM(A201,2)</f>
        <v>27</v>
      </c>
      <c r="T201" s="9" t="str">
        <f aca="false">IF(A201&lt;DATE(2026,6,30),"1-Pre-outage",IF(A201&lt;DATE(2026,7,5),"2-Transition","3-Outage-heavy"))</f>
        <v>2-Transition</v>
      </c>
      <c r="U201" s="9" t="str">
        <f aca="false">IF(K201="","",IF(ISNUMBER(SEARCH("TURBINE",K201)),"Turbine",IF(ISNUMBER(SEARCH("GENERATOR",K201)),"Generator",IF(ISNUMBER(SEARCH("BOILER",K201)),"Boiler",IF(ISNUMBER(SEARCH("AIR PREHEATER",K201)),"Auxiliary",IF(ISNUMBER(SEARCH("ELECTRICAL",K201)),"Electrical","Other"))))))</f>
        <v/>
      </c>
      <c r="V201" s="9" t="n">
        <f aca="false">AVERAGEIFS(G:G,B:B,B201,H:H,0)</f>
        <v>3.53586206896552</v>
      </c>
      <c r="W201" s="9" t="n">
        <f aca="false">IF(P201=1,MAX(0,V201-G201),0)</f>
        <v>0</v>
      </c>
    </row>
    <row r="202" customFormat="false" ht="15" hidden="false" customHeight="false" outlineLevel="0" collapsed="false">
      <c r="A202" s="8" t="n">
        <v>46207</v>
      </c>
      <c r="B202" s="9" t="n">
        <v>5</v>
      </c>
      <c r="C202" s="9" t="str">
        <f aca="false">"Unit "&amp;B202</f>
        <v>Unit 5</v>
      </c>
      <c r="D202" s="9"/>
      <c r="E202" s="9" t="n">
        <v>210</v>
      </c>
      <c r="F202" s="9" t="n">
        <v>3.81</v>
      </c>
      <c r="G202" s="9" t="n">
        <v>3.96</v>
      </c>
      <c r="H202" s="9" t="n">
        <v>0</v>
      </c>
      <c r="I202" s="9"/>
      <c r="J202" s="9"/>
      <c r="K202" s="9"/>
      <c r="L202" s="9" t="n">
        <f aca="false">E202*24/1000</f>
        <v>5.04</v>
      </c>
      <c r="M202" s="10" t="n">
        <f aca="false">G202/L202</f>
        <v>0.785714285714286</v>
      </c>
      <c r="N202" s="9" t="n">
        <f aca="false">G202-F202</f>
        <v>0.15</v>
      </c>
      <c r="O202" s="10" t="n">
        <f aca="false">IF(F202=0,"",G202/F202)</f>
        <v>1.03937007874016</v>
      </c>
      <c r="P202" s="9" t="n">
        <f aca="false">IF(H202&gt;0,1,0)</f>
        <v>0</v>
      </c>
      <c r="Q202" s="9" t="n">
        <f aca="false">IF(G202=0,1,0)</f>
        <v>0</v>
      </c>
      <c r="R202" s="9" t="str">
        <f aca="false">TEXT(A202,"mmm")</f>
        <v>Jul</v>
      </c>
      <c r="S202" s="9" t="n">
        <f aca="false">WEEKNUM(A202,2)</f>
        <v>27</v>
      </c>
      <c r="T202" s="9" t="str">
        <f aca="false">IF(A202&lt;DATE(2026,6,30),"1-Pre-outage",IF(A202&lt;DATE(2026,7,5),"2-Transition","3-Outage-heavy"))</f>
        <v>2-Transition</v>
      </c>
      <c r="U202" s="9" t="str">
        <f aca="false">IF(K202="","",IF(ISNUMBER(SEARCH("TURBINE",K202)),"Turbine",IF(ISNUMBER(SEARCH("GENERATOR",K202)),"Generator",IF(ISNUMBER(SEARCH("BOILER",K202)),"Boiler",IF(ISNUMBER(SEARCH("AIR PREHEATER",K202)),"Auxiliary",IF(ISNUMBER(SEARCH("ELECTRICAL",K202)),"Electrical","Other"))))))</f>
        <v/>
      </c>
      <c r="V202" s="9" t="n">
        <f aca="false">AVERAGEIFS(G:G,B:B,B202,H:H,0)</f>
        <v>3.98888888888889</v>
      </c>
      <c r="W202" s="9" t="n">
        <f aca="false">IF(P202=1,MAX(0,V202-G202),0)</f>
        <v>0</v>
      </c>
    </row>
    <row r="203" customFormat="false" ht="15" hidden="false" customHeight="false" outlineLevel="0" collapsed="false">
      <c r="A203" s="8" t="n">
        <v>46207</v>
      </c>
      <c r="B203" s="9" t="n">
        <v>6</v>
      </c>
      <c r="C203" s="9" t="str">
        <f aca="false">"Unit "&amp;B203</f>
        <v>Unit 6</v>
      </c>
      <c r="D203" s="9"/>
      <c r="E203" s="9" t="n">
        <v>195</v>
      </c>
      <c r="F203" s="9" t="n">
        <v>3.84</v>
      </c>
      <c r="G203" s="9" t="n">
        <v>3.82</v>
      </c>
      <c r="H203" s="9" t="n">
        <v>0</v>
      </c>
      <c r="I203" s="9"/>
      <c r="J203" s="9"/>
      <c r="K203" s="9"/>
      <c r="L203" s="9" t="n">
        <f aca="false">E203*24/1000</f>
        <v>4.68</v>
      </c>
      <c r="M203" s="10" t="n">
        <f aca="false">G203/L203</f>
        <v>0.816239316239316</v>
      </c>
      <c r="N203" s="9" t="n">
        <f aca="false">G203-F203</f>
        <v>-0.02</v>
      </c>
      <c r="O203" s="10" t="n">
        <f aca="false">IF(F203=0,"",G203/F203)</f>
        <v>0.994791666666667</v>
      </c>
      <c r="P203" s="9" t="n">
        <f aca="false">IF(H203&gt;0,1,0)</f>
        <v>0</v>
      </c>
      <c r="Q203" s="9" t="n">
        <f aca="false">IF(G203=0,1,0)</f>
        <v>0</v>
      </c>
      <c r="R203" s="9" t="str">
        <f aca="false">TEXT(A203,"mmm")</f>
        <v>Jul</v>
      </c>
      <c r="S203" s="9" t="n">
        <f aca="false">WEEKNUM(A203,2)</f>
        <v>27</v>
      </c>
      <c r="T203" s="9" t="str">
        <f aca="false">IF(A203&lt;DATE(2026,6,30),"1-Pre-outage",IF(A203&lt;DATE(2026,7,5),"2-Transition","3-Outage-heavy"))</f>
        <v>2-Transition</v>
      </c>
      <c r="U203" s="9" t="str">
        <f aca="false">IF(K203="","",IF(ISNUMBER(SEARCH("TURBINE",K203)),"Turbine",IF(ISNUMBER(SEARCH("GENERATOR",K203)),"Generator",IF(ISNUMBER(SEARCH("BOILER",K203)),"Boiler",IF(ISNUMBER(SEARCH("AIR PREHEATER",K203)),"Auxiliary",IF(ISNUMBER(SEARCH("ELECTRICAL",K203)),"Electrical","Other"))))))</f>
        <v/>
      </c>
      <c r="V203" s="9" t="n">
        <f aca="false">AVERAGEIFS(G:G,B:B,B203,H:H,0)</f>
        <v>3.85377777777778</v>
      </c>
      <c r="W203" s="9" t="n">
        <f aca="false">IF(P203=1,MAX(0,V203-G203),0)</f>
        <v>0</v>
      </c>
    </row>
    <row r="204" customFormat="false" ht="15" hidden="false" customHeight="false" outlineLevel="0" collapsed="false">
      <c r="A204" s="8" t="n">
        <v>46207</v>
      </c>
      <c r="B204" s="9" t="n">
        <v>7</v>
      </c>
      <c r="C204" s="9" t="str">
        <f aca="false">"Unit "&amp;B204</f>
        <v>Unit 7</v>
      </c>
      <c r="D204" s="9"/>
      <c r="E204" s="9" t="n">
        <v>195</v>
      </c>
      <c r="F204" s="9" t="n">
        <v>0</v>
      </c>
      <c r="G204" s="9" t="n">
        <v>3.95</v>
      </c>
      <c r="H204" s="9" t="n">
        <v>0</v>
      </c>
      <c r="I204" s="9"/>
      <c r="J204" s="9"/>
      <c r="K204" s="9"/>
      <c r="L204" s="9" t="n">
        <f aca="false">E204*24/1000</f>
        <v>4.68</v>
      </c>
      <c r="M204" s="10" t="n">
        <f aca="false">G204/L204</f>
        <v>0.844017094017094</v>
      </c>
      <c r="N204" s="9" t="n">
        <f aca="false">G204-F204</f>
        <v>3.95</v>
      </c>
      <c r="O204" s="10" t="str">
        <f aca="false">IF(F204=0,"",G204/F204)</f>
        <v/>
      </c>
      <c r="P204" s="9" t="n">
        <f aca="false">IF(H204&gt;0,1,0)</f>
        <v>0</v>
      </c>
      <c r="Q204" s="9" t="n">
        <f aca="false">IF(G204=0,1,0)</f>
        <v>0</v>
      </c>
      <c r="R204" s="9" t="str">
        <f aca="false">TEXT(A204,"mmm")</f>
        <v>Jul</v>
      </c>
      <c r="S204" s="9" t="n">
        <f aca="false">WEEKNUM(A204,2)</f>
        <v>27</v>
      </c>
      <c r="T204" s="9" t="str">
        <f aca="false">IF(A204&lt;DATE(2026,6,30),"1-Pre-outage",IF(A204&lt;DATE(2026,7,5),"2-Transition","3-Outage-heavy"))</f>
        <v>2-Transition</v>
      </c>
      <c r="U204" s="9" t="str">
        <f aca="false">IF(K204="","",IF(ISNUMBER(SEARCH("TURBINE",K204)),"Turbine",IF(ISNUMBER(SEARCH("GENERATOR",K204)),"Generator",IF(ISNUMBER(SEARCH("BOILER",K204)),"Boiler",IF(ISNUMBER(SEARCH("AIR PREHEATER",K204)),"Auxiliary",IF(ISNUMBER(SEARCH("ELECTRICAL",K204)),"Electrical","Other"))))))</f>
        <v/>
      </c>
      <c r="V204" s="9" t="n">
        <f aca="false">AVERAGEIFS(G:G,B:B,B204,H:H,0)</f>
        <v>3.98375</v>
      </c>
      <c r="W204" s="9" t="n">
        <f aca="false">IF(P204=1,MAX(0,V204-G204),0)</f>
        <v>0</v>
      </c>
    </row>
    <row r="205" customFormat="false" ht="15" hidden="false" customHeight="false" outlineLevel="0" collapsed="false">
      <c r="A205" s="8" t="n">
        <v>46208</v>
      </c>
      <c r="B205" s="9" t="n">
        <v>1</v>
      </c>
      <c r="C205" s="9" t="str">
        <f aca="false">"Unit "&amp;B205</f>
        <v>Unit 1</v>
      </c>
      <c r="D205" s="9"/>
      <c r="E205" s="9" t="n">
        <v>110</v>
      </c>
      <c r="F205" s="9" t="n">
        <v>1.84</v>
      </c>
      <c r="G205" s="9" t="n">
        <v>1.5</v>
      </c>
      <c r="H205" s="9" t="n">
        <v>0</v>
      </c>
      <c r="I205" s="9"/>
      <c r="J205" s="9"/>
      <c r="K205" s="9"/>
      <c r="L205" s="9" t="n">
        <f aca="false">E205*24/1000</f>
        <v>2.64</v>
      </c>
      <c r="M205" s="10" t="n">
        <f aca="false">G205/L205</f>
        <v>0.568181818181818</v>
      </c>
      <c r="N205" s="9" t="n">
        <f aca="false">G205-F205</f>
        <v>-0.34</v>
      </c>
      <c r="O205" s="10" t="n">
        <f aca="false">IF(F205=0,"",G205/F205)</f>
        <v>0.815217391304348</v>
      </c>
      <c r="P205" s="9" t="n">
        <f aca="false">IF(H205&gt;0,1,0)</f>
        <v>0</v>
      </c>
      <c r="Q205" s="9" t="n">
        <f aca="false">IF(G205=0,1,0)</f>
        <v>0</v>
      </c>
      <c r="R205" s="9" t="str">
        <f aca="false">TEXT(A205,"mmm")</f>
        <v>Jul</v>
      </c>
      <c r="S205" s="9" t="n">
        <f aca="false">WEEKNUM(A205,2)</f>
        <v>27</v>
      </c>
      <c r="T205" s="9" t="str">
        <f aca="false">IF(A205&lt;DATE(2026,6,30),"1-Pre-outage",IF(A205&lt;DATE(2026,7,5),"2-Transition","3-Outage-heavy"))</f>
        <v>3-Outage-heavy</v>
      </c>
      <c r="U205" s="9" t="str">
        <f aca="false">IF(K205="","",IF(ISNUMBER(SEARCH("TURBINE",K205)),"Turbine",IF(ISNUMBER(SEARCH("GENERATOR",K205)),"Generator",IF(ISNUMBER(SEARCH("BOILER",K205)),"Boiler",IF(ISNUMBER(SEARCH("AIR PREHEATER",K205)),"Auxiliary",IF(ISNUMBER(SEARCH("ELECTRICAL",K205)),"Electrical","Other"))))))</f>
        <v/>
      </c>
      <c r="V205" s="9" t="n">
        <f aca="false">AVERAGEIFS(G:G,B:B,B205,H:H,0)</f>
        <v>1.61181818181818</v>
      </c>
      <c r="W205" s="9" t="n">
        <f aca="false">IF(P205=1,MAX(0,V205-G205),0)</f>
        <v>0</v>
      </c>
    </row>
    <row r="206" customFormat="false" ht="15" hidden="false" customHeight="false" outlineLevel="0" collapsed="false">
      <c r="A206" s="8" t="n">
        <v>46208</v>
      </c>
      <c r="B206" s="9" t="n">
        <v>2</v>
      </c>
      <c r="C206" s="9" t="str">
        <f aca="false">"Unit "&amp;B206</f>
        <v>Unit 2</v>
      </c>
      <c r="D206" s="9"/>
      <c r="E206" s="9" t="n">
        <v>110</v>
      </c>
      <c r="F206" s="9" t="n">
        <v>1.87</v>
      </c>
      <c r="G206" s="9" t="n">
        <v>1.55</v>
      </c>
      <c r="H206" s="9" t="n">
        <v>0</v>
      </c>
      <c r="I206" s="9"/>
      <c r="J206" s="9"/>
      <c r="K206" s="9"/>
      <c r="L206" s="9" t="n">
        <f aca="false">E206*24/1000</f>
        <v>2.64</v>
      </c>
      <c r="M206" s="10" t="n">
        <f aca="false">G206/L206</f>
        <v>0.587121212121212</v>
      </c>
      <c r="N206" s="9" t="n">
        <f aca="false">G206-F206</f>
        <v>-0.32</v>
      </c>
      <c r="O206" s="10" t="n">
        <f aca="false">IF(F206=0,"",G206/F206)</f>
        <v>0.828877005347594</v>
      </c>
      <c r="P206" s="9" t="n">
        <f aca="false">IF(H206&gt;0,1,0)</f>
        <v>0</v>
      </c>
      <c r="Q206" s="9" t="n">
        <f aca="false">IF(G206=0,1,0)</f>
        <v>0</v>
      </c>
      <c r="R206" s="9" t="str">
        <f aca="false">TEXT(A206,"mmm")</f>
        <v>Jul</v>
      </c>
      <c r="S206" s="9" t="n">
        <f aca="false">WEEKNUM(A206,2)</f>
        <v>27</v>
      </c>
      <c r="T206" s="9" t="str">
        <f aca="false">IF(A206&lt;DATE(2026,6,30),"1-Pre-outage",IF(A206&lt;DATE(2026,7,5),"2-Transition","3-Outage-heavy"))</f>
        <v>3-Outage-heavy</v>
      </c>
      <c r="U206" s="9" t="str">
        <f aca="false">IF(K206="","",IF(ISNUMBER(SEARCH("TURBINE",K206)),"Turbine",IF(ISNUMBER(SEARCH("GENERATOR",K206)),"Generator",IF(ISNUMBER(SEARCH("BOILER",K206)),"Boiler",IF(ISNUMBER(SEARCH("AIR PREHEATER",K206)),"Auxiliary",IF(ISNUMBER(SEARCH("ELECTRICAL",K206)),"Electrical","Other"))))))</f>
        <v/>
      </c>
      <c r="V206" s="9" t="n">
        <f aca="false">AVERAGEIFS(G:G,B:B,B206,H:H,0)</f>
        <v>1.67955555555556</v>
      </c>
      <c r="W206" s="9" t="n">
        <f aca="false">IF(P206=1,MAX(0,V206-G206),0)</f>
        <v>0</v>
      </c>
    </row>
    <row r="207" customFormat="false" ht="15" hidden="false" customHeight="false" outlineLevel="0" collapsed="false">
      <c r="A207" s="8" t="n">
        <v>46208</v>
      </c>
      <c r="B207" s="9" t="n">
        <v>3</v>
      </c>
      <c r="C207" s="9" t="str">
        <f aca="false">"Unit "&amp;B207</f>
        <v>Unit 3</v>
      </c>
      <c r="D207" s="9"/>
      <c r="E207" s="9" t="n">
        <v>210</v>
      </c>
      <c r="F207" s="9" t="n">
        <v>3.67</v>
      </c>
      <c r="G207" s="9" t="n">
        <v>3.52</v>
      </c>
      <c r="H207" s="9" t="n">
        <v>0</v>
      </c>
      <c r="I207" s="9"/>
      <c r="J207" s="9"/>
      <c r="K207" s="9"/>
      <c r="L207" s="9" t="n">
        <f aca="false">E207*24/1000</f>
        <v>5.04</v>
      </c>
      <c r="M207" s="10" t="n">
        <f aca="false">G207/L207</f>
        <v>0.698412698412698</v>
      </c>
      <c r="N207" s="9" t="n">
        <f aca="false">G207-F207</f>
        <v>-0.15</v>
      </c>
      <c r="O207" s="10" t="n">
        <f aca="false">IF(F207=0,"",G207/F207)</f>
        <v>0.959128065395095</v>
      </c>
      <c r="P207" s="9" t="n">
        <f aca="false">IF(H207&gt;0,1,0)</f>
        <v>0</v>
      </c>
      <c r="Q207" s="9" t="n">
        <f aca="false">IF(G207=0,1,0)</f>
        <v>0</v>
      </c>
      <c r="R207" s="9" t="str">
        <f aca="false">TEXT(A207,"mmm")</f>
        <v>Jul</v>
      </c>
      <c r="S207" s="9" t="n">
        <f aca="false">WEEKNUM(A207,2)</f>
        <v>27</v>
      </c>
      <c r="T207" s="9" t="str">
        <f aca="false">IF(A207&lt;DATE(2026,6,30),"1-Pre-outage",IF(A207&lt;DATE(2026,7,5),"2-Transition","3-Outage-heavy"))</f>
        <v>3-Outage-heavy</v>
      </c>
      <c r="U207" s="9" t="str">
        <f aca="false">IF(K207="","",IF(ISNUMBER(SEARCH("TURBINE",K207)),"Turbine",IF(ISNUMBER(SEARCH("GENERATOR",K207)),"Generator",IF(ISNUMBER(SEARCH("BOILER",K207)),"Boiler",IF(ISNUMBER(SEARCH("AIR PREHEATER",K207)),"Auxiliary",IF(ISNUMBER(SEARCH("ELECTRICAL",K207)),"Electrical","Other"))))))</f>
        <v/>
      </c>
      <c r="V207" s="9" t="n">
        <f aca="false">AVERAGEIFS(G:G,B:B,B207,H:H,0)</f>
        <v>3.72697674418605</v>
      </c>
      <c r="W207" s="9" t="n">
        <f aca="false">IF(P207=1,MAX(0,V207-G207),0)</f>
        <v>0</v>
      </c>
    </row>
    <row r="208" customFormat="false" ht="15" hidden="false" customHeight="false" outlineLevel="0" collapsed="false">
      <c r="A208" s="8" t="n">
        <v>46208</v>
      </c>
      <c r="B208" s="9" t="n">
        <v>4</v>
      </c>
      <c r="C208" s="9" t="str">
        <f aca="false">"Unit "&amp;B208</f>
        <v>Unit 4</v>
      </c>
      <c r="D208" s="9" t="s">
        <v>76</v>
      </c>
      <c r="E208" s="9" t="n">
        <v>210</v>
      </c>
      <c r="F208" s="9" t="n">
        <v>0</v>
      </c>
      <c r="G208" s="9" t="n">
        <v>0</v>
      </c>
      <c r="H208" s="9" t="n">
        <v>210</v>
      </c>
      <c r="I208" s="11" t="n">
        <v>46208</v>
      </c>
      <c r="J208" s="9"/>
      <c r="K208" s="9" t="s">
        <v>84</v>
      </c>
      <c r="L208" s="9" t="n">
        <f aca="false">E208*24/1000</f>
        <v>5.04</v>
      </c>
      <c r="M208" s="10" t="n">
        <f aca="false">G208/L208</f>
        <v>0</v>
      </c>
      <c r="N208" s="9" t="n">
        <f aca="false">G208-F208</f>
        <v>0</v>
      </c>
      <c r="O208" s="10" t="str">
        <f aca="false">IF(F208=0,"",G208/F208)</f>
        <v/>
      </c>
      <c r="P208" s="9" t="n">
        <f aca="false">IF(H208&gt;0,1,0)</f>
        <v>1</v>
      </c>
      <c r="Q208" s="9" t="n">
        <f aca="false">IF(G208=0,1,0)</f>
        <v>1</v>
      </c>
      <c r="R208" s="9" t="str">
        <f aca="false">TEXT(A208,"mmm")</f>
        <v>Jul</v>
      </c>
      <c r="S208" s="9" t="n">
        <f aca="false">WEEKNUM(A208,2)</f>
        <v>27</v>
      </c>
      <c r="T208" s="9" t="str">
        <f aca="false">IF(A208&lt;DATE(2026,6,30),"1-Pre-outage",IF(A208&lt;DATE(2026,7,5),"2-Transition","3-Outage-heavy"))</f>
        <v>3-Outage-heavy</v>
      </c>
      <c r="U208" s="9" t="str">
        <f aca="false">IF(K208="","",IF(ISNUMBER(SEARCH("TURBINE",K208)),"Turbine",IF(ISNUMBER(SEARCH("GENERATOR",K208)),"Generator",IF(ISNUMBER(SEARCH("BOILER",K208)),"Boiler",IF(ISNUMBER(SEARCH("AIR PREHEATER",K208)),"Auxiliary",IF(ISNUMBER(SEARCH("ELECTRICAL",K208)),"Electrical","Other"))))))</f>
        <v>Turbine</v>
      </c>
      <c r="V208" s="9" t="n">
        <f aca="false">AVERAGEIFS(G:G,B:B,B208,H:H,0)</f>
        <v>3.53586206896552</v>
      </c>
      <c r="W208" s="9" t="n">
        <f aca="false">IF(P208=1,MAX(0,V208-G208),0)</f>
        <v>3.53586206896552</v>
      </c>
    </row>
    <row r="209" customFormat="false" ht="15" hidden="false" customHeight="false" outlineLevel="0" collapsed="false">
      <c r="A209" s="8" t="n">
        <v>46208</v>
      </c>
      <c r="B209" s="9" t="n">
        <v>5</v>
      </c>
      <c r="C209" s="9" t="str">
        <f aca="false">"Unit "&amp;B209</f>
        <v>Unit 5</v>
      </c>
      <c r="D209" s="9"/>
      <c r="E209" s="9" t="n">
        <v>210</v>
      </c>
      <c r="F209" s="9" t="n">
        <v>3.81</v>
      </c>
      <c r="G209" s="9" t="n">
        <v>3.86</v>
      </c>
      <c r="H209" s="9" t="n">
        <v>0</v>
      </c>
      <c r="I209" s="9"/>
      <c r="J209" s="9"/>
      <c r="K209" s="9"/>
      <c r="L209" s="9" t="n">
        <f aca="false">E209*24/1000</f>
        <v>5.04</v>
      </c>
      <c r="M209" s="10" t="n">
        <f aca="false">G209/L209</f>
        <v>0.765873015873016</v>
      </c>
      <c r="N209" s="9" t="n">
        <f aca="false">G209-F209</f>
        <v>0.0499999999999998</v>
      </c>
      <c r="O209" s="10" t="n">
        <f aca="false">IF(F209=0,"",G209/F209)</f>
        <v>1.01312335958005</v>
      </c>
      <c r="P209" s="9" t="n">
        <f aca="false">IF(H209&gt;0,1,0)</f>
        <v>0</v>
      </c>
      <c r="Q209" s="9" t="n">
        <f aca="false">IF(G209=0,1,0)</f>
        <v>0</v>
      </c>
      <c r="R209" s="9" t="str">
        <f aca="false">TEXT(A209,"mmm")</f>
        <v>Jul</v>
      </c>
      <c r="S209" s="9" t="n">
        <f aca="false">WEEKNUM(A209,2)</f>
        <v>27</v>
      </c>
      <c r="T209" s="9" t="str">
        <f aca="false">IF(A209&lt;DATE(2026,6,30),"1-Pre-outage",IF(A209&lt;DATE(2026,7,5),"2-Transition","3-Outage-heavy"))</f>
        <v>3-Outage-heavy</v>
      </c>
      <c r="U209" s="9" t="str">
        <f aca="false">IF(K209="","",IF(ISNUMBER(SEARCH("TURBINE",K209)),"Turbine",IF(ISNUMBER(SEARCH("GENERATOR",K209)),"Generator",IF(ISNUMBER(SEARCH("BOILER",K209)),"Boiler",IF(ISNUMBER(SEARCH("AIR PREHEATER",K209)),"Auxiliary",IF(ISNUMBER(SEARCH("ELECTRICAL",K209)),"Electrical","Other"))))))</f>
        <v/>
      </c>
      <c r="V209" s="9" t="n">
        <f aca="false">AVERAGEIFS(G:G,B:B,B209,H:H,0)</f>
        <v>3.98888888888889</v>
      </c>
      <c r="W209" s="9" t="n">
        <f aca="false">IF(P209=1,MAX(0,V209-G209),0)</f>
        <v>0</v>
      </c>
    </row>
    <row r="210" customFormat="false" ht="15" hidden="false" customHeight="false" outlineLevel="0" collapsed="false">
      <c r="A210" s="8" t="n">
        <v>46208</v>
      </c>
      <c r="B210" s="9" t="n">
        <v>6</v>
      </c>
      <c r="C210" s="9" t="str">
        <f aca="false">"Unit "&amp;B210</f>
        <v>Unit 6</v>
      </c>
      <c r="D210" s="9"/>
      <c r="E210" s="9" t="n">
        <v>195</v>
      </c>
      <c r="F210" s="9" t="n">
        <v>3.84</v>
      </c>
      <c r="G210" s="9" t="n">
        <v>3.82</v>
      </c>
      <c r="H210" s="9" t="n">
        <v>0</v>
      </c>
      <c r="I210" s="9"/>
      <c r="J210" s="9"/>
      <c r="K210" s="9"/>
      <c r="L210" s="9" t="n">
        <f aca="false">E210*24/1000</f>
        <v>4.68</v>
      </c>
      <c r="M210" s="10" t="n">
        <f aca="false">G210/L210</f>
        <v>0.816239316239316</v>
      </c>
      <c r="N210" s="9" t="n">
        <f aca="false">G210-F210</f>
        <v>-0.02</v>
      </c>
      <c r="O210" s="10" t="n">
        <f aca="false">IF(F210=0,"",G210/F210)</f>
        <v>0.994791666666667</v>
      </c>
      <c r="P210" s="9" t="n">
        <f aca="false">IF(H210&gt;0,1,0)</f>
        <v>0</v>
      </c>
      <c r="Q210" s="9" t="n">
        <f aca="false">IF(G210=0,1,0)</f>
        <v>0</v>
      </c>
      <c r="R210" s="9" t="str">
        <f aca="false">TEXT(A210,"mmm")</f>
        <v>Jul</v>
      </c>
      <c r="S210" s="9" t="n">
        <f aca="false">WEEKNUM(A210,2)</f>
        <v>27</v>
      </c>
      <c r="T210" s="9" t="str">
        <f aca="false">IF(A210&lt;DATE(2026,6,30),"1-Pre-outage",IF(A210&lt;DATE(2026,7,5),"2-Transition","3-Outage-heavy"))</f>
        <v>3-Outage-heavy</v>
      </c>
      <c r="U210" s="9" t="str">
        <f aca="false">IF(K210="","",IF(ISNUMBER(SEARCH("TURBINE",K210)),"Turbine",IF(ISNUMBER(SEARCH("GENERATOR",K210)),"Generator",IF(ISNUMBER(SEARCH("BOILER",K210)),"Boiler",IF(ISNUMBER(SEARCH("AIR PREHEATER",K210)),"Auxiliary",IF(ISNUMBER(SEARCH("ELECTRICAL",K210)),"Electrical","Other"))))))</f>
        <v/>
      </c>
      <c r="V210" s="9" t="n">
        <f aca="false">AVERAGEIFS(G:G,B:B,B210,H:H,0)</f>
        <v>3.85377777777778</v>
      </c>
      <c r="W210" s="9" t="n">
        <f aca="false">IF(P210=1,MAX(0,V210-G210),0)</f>
        <v>0</v>
      </c>
    </row>
    <row r="211" customFormat="false" ht="15" hidden="false" customHeight="false" outlineLevel="0" collapsed="false">
      <c r="A211" s="8" t="n">
        <v>46208</v>
      </c>
      <c r="B211" s="9" t="n">
        <v>7</v>
      </c>
      <c r="C211" s="9" t="str">
        <f aca="false">"Unit "&amp;B211</f>
        <v>Unit 7</v>
      </c>
      <c r="D211" s="9"/>
      <c r="E211" s="9" t="n">
        <v>195</v>
      </c>
      <c r="F211" s="9" t="n">
        <v>0</v>
      </c>
      <c r="G211" s="9" t="n">
        <v>3.86</v>
      </c>
      <c r="H211" s="9" t="n">
        <v>0</v>
      </c>
      <c r="I211" s="9"/>
      <c r="J211" s="9"/>
      <c r="K211" s="9"/>
      <c r="L211" s="9" t="n">
        <f aca="false">E211*24/1000</f>
        <v>4.68</v>
      </c>
      <c r="M211" s="10" t="n">
        <f aca="false">G211/L211</f>
        <v>0.824786324786325</v>
      </c>
      <c r="N211" s="9" t="n">
        <f aca="false">G211-F211</f>
        <v>3.86</v>
      </c>
      <c r="O211" s="10" t="str">
        <f aca="false">IF(F211=0,"",G211/F211)</f>
        <v/>
      </c>
      <c r="P211" s="9" t="n">
        <f aca="false">IF(H211&gt;0,1,0)</f>
        <v>0</v>
      </c>
      <c r="Q211" s="9" t="n">
        <f aca="false">IF(G211=0,1,0)</f>
        <v>0</v>
      </c>
      <c r="R211" s="9" t="str">
        <f aca="false">TEXT(A211,"mmm")</f>
        <v>Jul</v>
      </c>
      <c r="S211" s="9" t="n">
        <f aca="false">WEEKNUM(A211,2)</f>
        <v>27</v>
      </c>
      <c r="T211" s="9" t="str">
        <f aca="false">IF(A211&lt;DATE(2026,6,30),"1-Pre-outage",IF(A211&lt;DATE(2026,7,5),"2-Transition","3-Outage-heavy"))</f>
        <v>3-Outage-heavy</v>
      </c>
      <c r="U211" s="9" t="str">
        <f aca="false">IF(K211="","",IF(ISNUMBER(SEARCH("TURBINE",K211)),"Turbine",IF(ISNUMBER(SEARCH("GENERATOR",K211)),"Generator",IF(ISNUMBER(SEARCH("BOILER",K211)),"Boiler",IF(ISNUMBER(SEARCH("AIR PREHEATER",K211)),"Auxiliary",IF(ISNUMBER(SEARCH("ELECTRICAL",K211)),"Electrical","Other"))))))</f>
        <v/>
      </c>
      <c r="V211" s="9" t="n">
        <f aca="false">AVERAGEIFS(G:G,B:B,B211,H:H,0)</f>
        <v>3.98375</v>
      </c>
      <c r="W211" s="9" t="n">
        <f aca="false">IF(P211=1,MAX(0,V211-G211),0)</f>
        <v>0</v>
      </c>
    </row>
    <row r="212" customFormat="false" ht="15" hidden="false" customHeight="false" outlineLevel="0" collapsed="false">
      <c r="A212" s="8" t="n">
        <v>46209</v>
      </c>
      <c r="B212" s="9" t="n">
        <v>1</v>
      </c>
      <c r="C212" s="9" t="str">
        <f aca="false">"Unit "&amp;B212</f>
        <v>Unit 1</v>
      </c>
      <c r="D212" s="9" t="s">
        <v>79</v>
      </c>
      <c r="E212" s="9" t="n">
        <v>110</v>
      </c>
      <c r="F212" s="9" t="n">
        <v>1.84</v>
      </c>
      <c r="G212" s="9" t="n">
        <v>1.56</v>
      </c>
      <c r="H212" s="9" t="n">
        <v>0</v>
      </c>
      <c r="I212" s="11" t="n">
        <v>46209.5569444444</v>
      </c>
      <c r="J212" s="11" t="n">
        <v>46209.6631944445</v>
      </c>
      <c r="K212" s="9" t="s">
        <v>86</v>
      </c>
      <c r="L212" s="9" t="n">
        <f aca="false">E212*24/1000</f>
        <v>2.64</v>
      </c>
      <c r="M212" s="10" t="n">
        <f aca="false">G212/L212</f>
        <v>0.590909090909091</v>
      </c>
      <c r="N212" s="9" t="n">
        <f aca="false">G212-F212</f>
        <v>-0.28</v>
      </c>
      <c r="O212" s="10" t="n">
        <f aca="false">IF(F212=0,"",G212/F212)</f>
        <v>0.847826086956522</v>
      </c>
      <c r="P212" s="9" t="n">
        <f aca="false">IF(H212&gt;0,1,0)</f>
        <v>0</v>
      </c>
      <c r="Q212" s="9" t="n">
        <f aca="false">IF(G212=0,1,0)</f>
        <v>0</v>
      </c>
      <c r="R212" s="9" t="str">
        <f aca="false">TEXT(A212,"mmm")</f>
        <v>Jul</v>
      </c>
      <c r="S212" s="9" t="n">
        <f aca="false">WEEKNUM(A212,2)</f>
        <v>28</v>
      </c>
      <c r="T212" s="9" t="str">
        <f aca="false">IF(A212&lt;DATE(2026,6,30),"1-Pre-outage",IF(A212&lt;DATE(2026,7,5),"2-Transition","3-Outage-heavy"))</f>
        <v>3-Outage-heavy</v>
      </c>
      <c r="U212" s="9" t="str">
        <f aca="false">IF(K212="","",IF(ISNUMBER(SEARCH("TURBINE",K212)),"Turbine",IF(ISNUMBER(SEARCH("GENERATOR",K212)),"Generator",IF(ISNUMBER(SEARCH("BOILER",K212)),"Boiler",IF(ISNUMBER(SEARCH("AIR PREHEATER",K212)),"Auxiliary",IF(ISNUMBER(SEARCH("ELECTRICAL",K212)),"Electrical","Other"))))))</f>
        <v>Electrical</v>
      </c>
      <c r="V212" s="9" t="n">
        <f aca="false">AVERAGEIFS(G:G,B:B,B212,H:H,0)</f>
        <v>1.61181818181818</v>
      </c>
      <c r="W212" s="9" t="n">
        <f aca="false">IF(P212=1,MAX(0,V212-G212),0)</f>
        <v>0</v>
      </c>
    </row>
    <row r="213" customFormat="false" ht="15" hidden="false" customHeight="false" outlineLevel="0" collapsed="false">
      <c r="A213" s="8" t="n">
        <v>46209</v>
      </c>
      <c r="B213" s="9" t="n">
        <v>2</v>
      </c>
      <c r="C213" s="9" t="str">
        <f aca="false">"Unit "&amp;B213</f>
        <v>Unit 2</v>
      </c>
      <c r="D213" s="9"/>
      <c r="E213" s="9" t="n">
        <v>110</v>
      </c>
      <c r="F213" s="9" t="n">
        <v>1.87</v>
      </c>
      <c r="G213" s="9" t="n">
        <v>1.61</v>
      </c>
      <c r="H213" s="9" t="n">
        <v>0</v>
      </c>
      <c r="I213" s="9"/>
      <c r="J213" s="9"/>
      <c r="K213" s="9"/>
      <c r="L213" s="9" t="n">
        <f aca="false">E213*24/1000</f>
        <v>2.64</v>
      </c>
      <c r="M213" s="10" t="n">
        <f aca="false">G213/L213</f>
        <v>0.609848484848485</v>
      </c>
      <c r="N213" s="9" t="n">
        <f aca="false">G213-F213</f>
        <v>-0.26</v>
      </c>
      <c r="O213" s="10" t="n">
        <f aca="false">IF(F213=0,"",G213/F213)</f>
        <v>0.86096256684492</v>
      </c>
      <c r="P213" s="9" t="n">
        <f aca="false">IF(H213&gt;0,1,0)</f>
        <v>0</v>
      </c>
      <c r="Q213" s="9" t="n">
        <f aca="false">IF(G213=0,1,0)</f>
        <v>0</v>
      </c>
      <c r="R213" s="9" t="str">
        <f aca="false">TEXT(A213,"mmm")</f>
        <v>Jul</v>
      </c>
      <c r="S213" s="9" t="n">
        <f aca="false">WEEKNUM(A213,2)</f>
        <v>28</v>
      </c>
      <c r="T213" s="9" t="str">
        <f aca="false">IF(A213&lt;DATE(2026,6,30),"1-Pre-outage",IF(A213&lt;DATE(2026,7,5),"2-Transition","3-Outage-heavy"))</f>
        <v>3-Outage-heavy</v>
      </c>
      <c r="U213" s="9" t="str">
        <f aca="false">IF(K213="","",IF(ISNUMBER(SEARCH("TURBINE",K213)),"Turbine",IF(ISNUMBER(SEARCH("GENERATOR",K213)),"Generator",IF(ISNUMBER(SEARCH("BOILER",K213)),"Boiler",IF(ISNUMBER(SEARCH("AIR PREHEATER",K213)),"Auxiliary",IF(ISNUMBER(SEARCH("ELECTRICAL",K213)),"Electrical","Other"))))))</f>
        <v/>
      </c>
      <c r="V213" s="9" t="n">
        <f aca="false">AVERAGEIFS(G:G,B:B,B213,H:H,0)</f>
        <v>1.67955555555556</v>
      </c>
      <c r="W213" s="9" t="n">
        <f aca="false">IF(P213=1,MAX(0,V213-G213),0)</f>
        <v>0</v>
      </c>
    </row>
    <row r="214" customFormat="false" ht="15" hidden="false" customHeight="false" outlineLevel="0" collapsed="false">
      <c r="A214" s="8" t="n">
        <v>46209</v>
      </c>
      <c r="B214" s="9" t="n">
        <v>3</v>
      </c>
      <c r="C214" s="9" t="str">
        <f aca="false">"Unit "&amp;B214</f>
        <v>Unit 3</v>
      </c>
      <c r="D214" s="9"/>
      <c r="E214" s="9" t="n">
        <v>210</v>
      </c>
      <c r="F214" s="9" t="n">
        <v>3.67</v>
      </c>
      <c r="G214" s="9" t="n">
        <v>3.6</v>
      </c>
      <c r="H214" s="9" t="n">
        <v>0</v>
      </c>
      <c r="I214" s="9"/>
      <c r="J214" s="9"/>
      <c r="K214" s="9"/>
      <c r="L214" s="9" t="n">
        <f aca="false">E214*24/1000</f>
        <v>5.04</v>
      </c>
      <c r="M214" s="10" t="n">
        <f aca="false">G214/L214</f>
        <v>0.714285714285714</v>
      </c>
      <c r="N214" s="9" t="n">
        <f aca="false">G214-F214</f>
        <v>-0.0699999999999998</v>
      </c>
      <c r="O214" s="10" t="n">
        <f aca="false">IF(F214=0,"",G214/F214)</f>
        <v>0.980926430517711</v>
      </c>
      <c r="P214" s="9" t="n">
        <f aca="false">IF(H214&gt;0,1,0)</f>
        <v>0</v>
      </c>
      <c r="Q214" s="9" t="n">
        <f aca="false">IF(G214=0,1,0)</f>
        <v>0</v>
      </c>
      <c r="R214" s="9" t="str">
        <f aca="false">TEXT(A214,"mmm")</f>
        <v>Jul</v>
      </c>
      <c r="S214" s="9" t="n">
        <f aca="false">WEEKNUM(A214,2)</f>
        <v>28</v>
      </c>
      <c r="T214" s="9" t="str">
        <f aca="false">IF(A214&lt;DATE(2026,6,30),"1-Pre-outage",IF(A214&lt;DATE(2026,7,5),"2-Transition","3-Outage-heavy"))</f>
        <v>3-Outage-heavy</v>
      </c>
      <c r="U214" s="9" t="str">
        <f aca="false">IF(K214="","",IF(ISNUMBER(SEARCH("TURBINE",K214)),"Turbine",IF(ISNUMBER(SEARCH("GENERATOR",K214)),"Generator",IF(ISNUMBER(SEARCH("BOILER",K214)),"Boiler",IF(ISNUMBER(SEARCH("AIR PREHEATER",K214)),"Auxiliary",IF(ISNUMBER(SEARCH("ELECTRICAL",K214)),"Electrical","Other"))))))</f>
        <v/>
      </c>
      <c r="V214" s="9" t="n">
        <f aca="false">AVERAGEIFS(G:G,B:B,B214,H:H,0)</f>
        <v>3.72697674418605</v>
      </c>
      <c r="W214" s="9" t="n">
        <f aca="false">IF(P214=1,MAX(0,V214-G214),0)</f>
        <v>0</v>
      </c>
    </row>
    <row r="215" customFormat="false" ht="15" hidden="false" customHeight="false" outlineLevel="0" collapsed="false">
      <c r="A215" s="8" t="n">
        <v>46209</v>
      </c>
      <c r="B215" s="9" t="n">
        <v>4</v>
      </c>
      <c r="C215" s="9" t="str">
        <f aca="false">"Unit "&amp;B215</f>
        <v>Unit 4</v>
      </c>
      <c r="D215" s="9" t="s">
        <v>76</v>
      </c>
      <c r="E215" s="9" t="n">
        <v>210</v>
      </c>
      <c r="F215" s="9" t="n">
        <v>0</v>
      </c>
      <c r="G215" s="9" t="n">
        <v>0</v>
      </c>
      <c r="H215" s="9" t="n">
        <v>210</v>
      </c>
      <c r="I215" s="11" t="n">
        <v>46208</v>
      </c>
      <c r="J215" s="9"/>
      <c r="K215" s="9" t="s">
        <v>84</v>
      </c>
      <c r="L215" s="9" t="n">
        <f aca="false">E215*24/1000</f>
        <v>5.04</v>
      </c>
      <c r="M215" s="10" t="n">
        <f aca="false">G215/L215</f>
        <v>0</v>
      </c>
      <c r="N215" s="9" t="n">
        <f aca="false">G215-F215</f>
        <v>0</v>
      </c>
      <c r="O215" s="10" t="str">
        <f aca="false">IF(F215=0,"",G215/F215)</f>
        <v/>
      </c>
      <c r="P215" s="9" t="n">
        <f aca="false">IF(H215&gt;0,1,0)</f>
        <v>1</v>
      </c>
      <c r="Q215" s="9" t="n">
        <f aca="false">IF(G215=0,1,0)</f>
        <v>1</v>
      </c>
      <c r="R215" s="9" t="str">
        <f aca="false">TEXT(A215,"mmm")</f>
        <v>Jul</v>
      </c>
      <c r="S215" s="9" t="n">
        <f aca="false">WEEKNUM(A215,2)</f>
        <v>28</v>
      </c>
      <c r="T215" s="9" t="str">
        <f aca="false">IF(A215&lt;DATE(2026,6,30),"1-Pre-outage",IF(A215&lt;DATE(2026,7,5),"2-Transition","3-Outage-heavy"))</f>
        <v>3-Outage-heavy</v>
      </c>
      <c r="U215" s="9" t="str">
        <f aca="false">IF(K215="","",IF(ISNUMBER(SEARCH("TURBINE",K215)),"Turbine",IF(ISNUMBER(SEARCH("GENERATOR",K215)),"Generator",IF(ISNUMBER(SEARCH("BOILER",K215)),"Boiler",IF(ISNUMBER(SEARCH("AIR PREHEATER",K215)),"Auxiliary",IF(ISNUMBER(SEARCH("ELECTRICAL",K215)),"Electrical","Other"))))))</f>
        <v>Turbine</v>
      </c>
      <c r="V215" s="9" t="n">
        <f aca="false">AVERAGEIFS(G:G,B:B,B215,H:H,0)</f>
        <v>3.53586206896552</v>
      </c>
      <c r="W215" s="9" t="n">
        <f aca="false">IF(P215=1,MAX(0,V215-G215),0)</f>
        <v>3.53586206896552</v>
      </c>
    </row>
    <row r="216" customFormat="false" ht="15" hidden="false" customHeight="false" outlineLevel="0" collapsed="false">
      <c r="A216" s="8" t="n">
        <v>46209</v>
      </c>
      <c r="B216" s="9" t="n">
        <v>5</v>
      </c>
      <c r="C216" s="9" t="str">
        <f aca="false">"Unit "&amp;B216</f>
        <v>Unit 5</v>
      </c>
      <c r="D216" s="9"/>
      <c r="E216" s="9" t="n">
        <v>210</v>
      </c>
      <c r="F216" s="9" t="n">
        <v>3.81</v>
      </c>
      <c r="G216" s="9" t="n">
        <v>3.88</v>
      </c>
      <c r="H216" s="9" t="n">
        <v>0</v>
      </c>
      <c r="I216" s="9"/>
      <c r="J216" s="9"/>
      <c r="K216" s="9"/>
      <c r="L216" s="9" t="n">
        <f aca="false">E216*24/1000</f>
        <v>5.04</v>
      </c>
      <c r="M216" s="10" t="n">
        <f aca="false">G216/L216</f>
        <v>0.76984126984127</v>
      </c>
      <c r="N216" s="9" t="n">
        <f aca="false">G216-F216</f>
        <v>0.0699999999999998</v>
      </c>
      <c r="O216" s="10" t="n">
        <f aca="false">IF(F216=0,"",G216/F216)</f>
        <v>1.01837270341207</v>
      </c>
      <c r="P216" s="9" t="n">
        <f aca="false">IF(H216&gt;0,1,0)</f>
        <v>0</v>
      </c>
      <c r="Q216" s="9" t="n">
        <f aca="false">IF(G216=0,1,0)</f>
        <v>0</v>
      </c>
      <c r="R216" s="9" t="str">
        <f aca="false">TEXT(A216,"mmm")</f>
        <v>Jul</v>
      </c>
      <c r="S216" s="9" t="n">
        <f aca="false">WEEKNUM(A216,2)</f>
        <v>28</v>
      </c>
      <c r="T216" s="9" t="str">
        <f aca="false">IF(A216&lt;DATE(2026,6,30),"1-Pre-outage",IF(A216&lt;DATE(2026,7,5),"2-Transition","3-Outage-heavy"))</f>
        <v>3-Outage-heavy</v>
      </c>
      <c r="U216" s="9" t="str">
        <f aca="false">IF(K216="","",IF(ISNUMBER(SEARCH("TURBINE",K216)),"Turbine",IF(ISNUMBER(SEARCH("GENERATOR",K216)),"Generator",IF(ISNUMBER(SEARCH("BOILER",K216)),"Boiler",IF(ISNUMBER(SEARCH("AIR PREHEATER",K216)),"Auxiliary",IF(ISNUMBER(SEARCH("ELECTRICAL",K216)),"Electrical","Other"))))))</f>
        <v/>
      </c>
      <c r="V216" s="9" t="n">
        <f aca="false">AVERAGEIFS(G:G,B:B,B216,H:H,0)</f>
        <v>3.98888888888889</v>
      </c>
      <c r="W216" s="9" t="n">
        <f aca="false">IF(P216=1,MAX(0,V216-G216),0)</f>
        <v>0</v>
      </c>
    </row>
    <row r="217" customFormat="false" ht="15" hidden="false" customHeight="false" outlineLevel="0" collapsed="false">
      <c r="A217" s="8" t="n">
        <v>46209</v>
      </c>
      <c r="B217" s="9" t="n">
        <v>6</v>
      </c>
      <c r="C217" s="9" t="str">
        <f aca="false">"Unit "&amp;B217</f>
        <v>Unit 6</v>
      </c>
      <c r="D217" s="9"/>
      <c r="E217" s="9" t="n">
        <v>195</v>
      </c>
      <c r="F217" s="9" t="n">
        <v>3.84</v>
      </c>
      <c r="G217" s="9" t="n">
        <v>3.84</v>
      </c>
      <c r="H217" s="9" t="n">
        <v>0</v>
      </c>
      <c r="I217" s="9"/>
      <c r="J217" s="9"/>
      <c r="K217" s="9"/>
      <c r="L217" s="9" t="n">
        <f aca="false">E217*24/1000</f>
        <v>4.68</v>
      </c>
      <c r="M217" s="10" t="n">
        <f aca="false">G217/L217</f>
        <v>0.820512820512821</v>
      </c>
      <c r="N217" s="9" t="n">
        <f aca="false">G217-F217</f>
        <v>0</v>
      </c>
      <c r="O217" s="10" t="n">
        <f aca="false">IF(F217=0,"",G217/F217)</f>
        <v>1</v>
      </c>
      <c r="P217" s="9" t="n">
        <f aca="false">IF(H217&gt;0,1,0)</f>
        <v>0</v>
      </c>
      <c r="Q217" s="9" t="n">
        <f aca="false">IF(G217=0,1,0)</f>
        <v>0</v>
      </c>
      <c r="R217" s="9" t="str">
        <f aca="false">TEXT(A217,"mmm")</f>
        <v>Jul</v>
      </c>
      <c r="S217" s="9" t="n">
        <f aca="false">WEEKNUM(A217,2)</f>
        <v>28</v>
      </c>
      <c r="T217" s="9" t="str">
        <f aca="false">IF(A217&lt;DATE(2026,6,30),"1-Pre-outage",IF(A217&lt;DATE(2026,7,5),"2-Transition","3-Outage-heavy"))</f>
        <v>3-Outage-heavy</v>
      </c>
      <c r="U217" s="9" t="str">
        <f aca="false">IF(K217="","",IF(ISNUMBER(SEARCH("TURBINE",K217)),"Turbine",IF(ISNUMBER(SEARCH("GENERATOR",K217)),"Generator",IF(ISNUMBER(SEARCH("BOILER",K217)),"Boiler",IF(ISNUMBER(SEARCH("AIR PREHEATER",K217)),"Auxiliary",IF(ISNUMBER(SEARCH("ELECTRICAL",K217)),"Electrical","Other"))))))</f>
        <v/>
      </c>
      <c r="V217" s="9" t="n">
        <f aca="false">AVERAGEIFS(G:G,B:B,B217,H:H,0)</f>
        <v>3.85377777777778</v>
      </c>
      <c r="W217" s="9" t="n">
        <f aca="false">IF(P217=1,MAX(0,V217-G217),0)</f>
        <v>0</v>
      </c>
    </row>
    <row r="218" customFormat="false" ht="15" hidden="false" customHeight="false" outlineLevel="0" collapsed="false">
      <c r="A218" s="8" t="n">
        <v>46209</v>
      </c>
      <c r="B218" s="9" t="n">
        <v>7</v>
      </c>
      <c r="C218" s="9" t="str">
        <f aca="false">"Unit "&amp;B218</f>
        <v>Unit 7</v>
      </c>
      <c r="D218" s="9"/>
      <c r="E218" s="9" t="n">
        <v>195</v>
      </c>
      <c r="F218" s="9" t="n">
        <v>0</v>
      </c>
      <c r="G218" s="9" t="n">
        <v>3.43</v>
      </c>
      <c r="H218" s="9" t="n">
        <v>0</v>
      </c>
      <c r="I218" s="9"/>
      <c r="J218" s="9"/>
      <c r="K218" s="9"/>
      <c r="L218" s="9" t="n">
        <f aca="false">E218*24/1000</f>
        <v>4.68</v>
      </c>
      <c r="M218" s="10" t="n">
        <f aca="false">G218/L218</f>
        <v>0.732905982905983</v>
      </c>
      <c r="N218" s="9" t="n">
        <f aca="false">G218-F218</f>
        <v>3.43</v>
      </c>
      <c r="O218" s="10" t="str">
        <f aca="false">IF(F218=0,"",G218/F218)</f>
        <v/>
      </c>
      <c r="P218" s="9" t="n">
        <f aca="false">IF(H218&gt;0,1,0)</f>
        <v>0</v>
      </c>
      <c r="Q218" s="9" t="n">
        <f aca="false">IF(G218=0,1,0)</f>
        <v>0</v>
      </c>
      <c r="R218" s="9" t="str">
        <f aca="false">TEXT(A218,"mmm")</f>
        <v>Jul</v>
      </c>
      <c r="S218" s="9" t="n">
        <f aca="false">WEEKNUM(A218,2)</f>
        <v>28</v>
      </c>
      <c r="T218" s="9" t="str">
        <f aca="false">IF(A218&lt;DATE(2026,6,30),"1-Pre-outage",IF(A218&lt;DATE(2026,7,5),"2-Transition","3-Outage-heavy"))</f>
        <v>3-Outage-heavy</v>
      </c>
      <c r="U218" s="9" t="str">
        <f aca="false">IF(K218="","",IF(ISNUMBER(SEARCH("TURBINE",K218)),"Turbine",IF(ISNUMBER(SEARCH("GENERATOR",K218)),"Generator",IF(ISNUMBER(SEARCH("BOILER",K218)),"Boiler",IF(ISNUMBER(SEARCH("AIR PREHEATER",K218)),"Auxiliary",IF(ISNUMBER(SEARCH("ELECTRICAL",K218)),"Electrical","Other"))))))</f>
        <v/>
      </c>
      <c r="V218" s="9" t="n">
        <f aca="false">AVERAGEIFS(G:G,B:B,B218,H:H,0)</f>
        <v>3.98375</v>
      </c>
      <c r="W218" s="9" t="n">
        <f aca="false">IF(P218=1,MAX(0,V218-G218),0)</f>
        <v>0</v>
      </c>
    </row>
    <row r="219" customFormat="false" ht="15" hidden="false" customHeight="false" outlineLevel="0" collapsed="false">
      <c r="A219" s="8" t="n">
        <v>46210</v>
      </c>
      <c r="B219" s="9" t="n">
        <v>1</v>
      </c>
      <c r="C219" s="9" t="str">
        <f aca="false">"Unit "&amp;B219</f>
        <v>Unit 1</v>
      </c>
      <c r="D219" s="9"/>
      <c r="E219" s="9" t="n">
        <v>110</v>
      </c>
      <c r="F219" s="9" t="n">
        <v>1.84</v>
      </c>
      <c r="G219" s="9" t="n">
        <v>1.6</v>
      </c>
      <c r="H219" s="9" t="n">
        <v>0</v>
      </c>
      <c r="I219" s="9"/>
      <c r="J219" s="9"/>
      <c r="K219" s="9"/>
      <c r="L219" s="9" t="n">
        <f aca="false">E219*24/1000</f>
        <v>2.64</v>
      </c>
      <c r="M219" s="10" t="n">
        <f aca="false">G219/L219</f>
        <v>0.606060606060606</v>
      </c>
      <c r="N219" s="9" t="n">
        <f aca="false">G219-F219</f>
        <v>-0.24</v>
      </c>
      <c r="O219" s="10" t="n">
        <f aca="false">IF(F219=0,"",G219/F219)</f>
        <v>0.869565217391304</v>
      </c>
      <c r="P219" s="9" t="n">
        <f aca="false">IF(H219&gt;0,1,0)</f>
        <v>0</v>
      </c>
      <c r="Q219" s="9" t="n">
        <f aca="false">IF(G219=0,1,0)</f>
        <v>0</v>
      </c>
      <c r="R219" s="9" t="str">
        <f aca="false">TEXT(A219,"mmm")</f>
        <v>Jul</v>
      </c>
      <c r="S219" s="9" t="n">
        <f aca="false">WEEKNUM(A219,2)</f>
        <v>28</v>
      </c>
      <c r="T219" s="9" t="str">
        <f aca="false">IF(A219&lt;DATE(2026,6,30),"1-Pre-outage",IF(A219&lt;DATE(2026,7,5),"2-Transition","3-Outage-heavy"))</f>
        <v>3-Outage-heavy</v>
      </c>
      <c r="U219" s="9" t="str">
        <f aca="false">IF(K219="","",IF(ISNUMBER(SEARCH("TURBINE",K219)),"Turbine",IF(ISNUMBER(SEARCH("GENERATOR",K219)),"Generator",IF(ISNUMBER(SEARCH("BOILER",K219)),"Boiler",IF(ISNUMBER(SEARCH("AIR PREHEATER",K219)),"Auxiliary",IF(ISNUMBER(SEARCH("ELECTRICAL",K219)),"Electrical","Other"))))))</f>
        <v/>
      </c>
      <c r="V219" s="9" t="n">
        <f aca="false">AVERAGEIFS(G:G,B:B,B219,H:H,0)</f>
        <v>1.61181818181818</v>
      </c>
      <c r="W219" s="9" t="n">
        <f aca="false">IF(P219=1,MAX(0,V219-G219),0)</f>
        <v>0</v>
      </c>
    </row>
    <row r="220" customFormat="false" ht="15" hidden="false" customHeight="false" outlineLevel="0" collapsed="false">
      <c r="A220" s="8" t="n">
        <v>46210</v>
      </c>
      <c r="B220" s="9" t="n">
        <v>2</v>
      </c>
      <c r="C220" s="9" t="str">
        <f aca="false">"Unit "&amp;B220</f>
        <v>Unit 2</v>
      </c>
      <c r="D220" s="9"/>
      <c r="E220" s="9" t="n">
        <v>110</v>
      </c>
      <c r="F220" s="9" t="n">
        <v>1.87</v>
      </c>
      <c r="G220" s="9" t="n">
        <v>1.6</v>
      </c>
      <c r="H220" s="9" t="n">
        <v>0</v>
      </c>
      <c r="I220" s="9"/>
      <c r="J220" s="9"/>
      <c r="K220" s="9"/>
      <c r="L220" s="9" t="n">
        <f aca="false">E220*24/1000</f>
        <v>2.64</v>
      </c>
      <c r="M220" s="10" t="n">
        <f aca="false">G220/L220</f>
        <v>0.606060606060606</v>
      </c>
      <c r="N220" s="9" t="n">
        <f aca="false">G220-F220</f>
        <v>-0.27</v>
      </c>
      <c r="O220" s="10" t="n">
        <f aca="false">IF(F220=0,"",G220/F220)</f>
        <v>0.855614973262032</v>
      </c>
      <c r="P220" s="9" t="n">
        <f aca="false">IF(H220&gt;0,1,0)</f>
        <v>0</v>
      </c>
      <c r="Q220" s="9" t="n">
        <f aca="false">IF(G220=0,1,0)</f>
        <v>0</v>
      </c>
      <c r="R220" s="9" t="str">
        <f aca="false">TEXT(A220,"mmm")</f>
        <v>Jul</v>
      </c>
      <c r="S220" s="9" t="n">
        <f aca="false">WEEKNUM(A220,2)</f>
        <v>28</v>
      </c>
      <c r="T220" s="9" t="str">
        <f aca="false">IF(A220&lt;DATE(2026,6,30),"1-Pre-outage",IF(A220&lt;DATE(2026,7,5),"2-Transition","3-Outage-heavy"))</f>
        <v>3-Outage-heavy</v>
      </c>
      <c r="U220" s="9" t="str">
        <f aca="false">IF(K220="","",IF(ISNUMBER(SEARCH("TURBINE",K220)),"Turbine",IF(ISNUMBER(SEARCH("GENERATOR",K220)),"Generator",IF(ISNUMBER(SEARCH("BOILER",K220)),"Boiler",IF(ISNUMBER(SEARCH("AIR PREHEATER",K220)),"Auxiliary",IF(ISNUMBER(SEARCH("ELECTRICAL",K220)),"Electrical","Other"))))))</f>
        <v/>
      </c>
      <c r="V220" s="9" t="n">
        <f aca="false">AVERAGEIFS(G:G,B:B,B220,H:H,0)</f>
        <v>1.67955555555556</v>
      </c>
      <c r="W220" s="9" t="n">
        <f aca="false">IF(P220=1,MAX(0,V220-G220),0)</f>
        <v>0</v>
      </c>
    </row>
    <row r="221" customFormat="false" ht="15" hidden="false" customHeight="false" outlineLevel="0" collapsed="false">
      <c r="A221" s="8" t="n">
        <v>46210</v>
      </c>
      <c r="B221" s="9" t="n">
        <v>3</v>
      </c>
      <c r="C221" s="9" t="str">
        <f aca="false">"Unit "&amp;B221</f>
        <v>Unit 3</v>
      </c>
      <c r="D221" s="9"/>
      <c r="E221" s="9" t="n">
        <v>210</v>
      </c>
      <c r="F221" s="9" t="n">
        <v>3.67</v>
      </c>
      <c r="G221" s="9" t="n">
        <v>3.61</v>
      </c>
      <c r="H221" s="9" t="n">
        <v>0</v>
      </c>
      <c r="I221" s="9"/>
      <c r="J221" s="9"/>
      <c r="K221" s="9"/>
      <c r="L221" s="9" t="n">
        <f aca="false">E221*24/1000</f>
        <v>5.04</v>
      </c>
      <c r="M221" s="10" t="n">
        <f aca="false">G221/L221</f>
        <v>0.716269841269841</v>
      </c>
      <c r="N221" s="9" t="n">
        <f aca="false">G221-F221</f>
        <v>-0.0600000000000001</v>
      </c>
      <c r="O221" s="10" t="n">
        <f aca="false">IF(F221=0,"",G221/F221)</f>
        <v>0.983651226158038</v>
      </c>
      <c r="P221" s="9" t="n">
        <f aca="false">IF(H221&gt;0,1,0)</f>
        <v>0</v>
      </c>
      <c r="Q221" s="9" t="n">
        <f aca="false">IF(G221=0,1,0)</f>
        <v>0</v>
      </c>
      <c r="R221" s="9" t="str">
        <f aca="false">TEXT(A221,"mmm")</f>
        <v>Jul</v>
      </c>
      <c r="S221" s="9" t="n">
        <f aca="false">WEEKNUM(A221,2)</f>
        <v>28</v>
      </c>
      <c r="T221" s="9" t="str">
        <f aca="false">IF(A221&lt;DATE(2026,6,30),"1-Pre-outage",IF(A221&lt;DATE(2026,7,5),"2-Transition","3-Outage-heavy"))</f>
        <v>3-Outage-heavy</v>
      </c>
      <c r="U221" s="9" t="str">
        <f aca="false">IF(K221="","",IF(ISNUMBER(SEARCH("TURBINE",K221)),"Turbine",IF(ISNUMBER(SEARCH("GENERATOR",K221)),"Generator",IF(ISNUMBER(SEARCH("BOILER",K221)),"Boiler",IF(ISNUMBER(SEARCH("AIR PREHEATER",K221)),"Auxiliary",IF(ISNUMBER(SEARCH("ELECTRICAL",K221)),"Electrical","Other"))))))</f>
        <v/>
      </c>
      <c r="V221" s="9" t="n">
        <f aca="false">AVERAGEIFS(G:G,B:B,B221,H:H,0)</f>
        <v>3.72697674418605</v>
      </c>
      <c r="W221" s="9" t="n">
        <f aca="false">IF(P221=1,MAX(0,V221-G221),0)</f>
        <v>0</v>
      </c>
    </row>
    <row r="222" customFormat="false" ht="15" hidden="false" customHeight="false" outlineLevel="0" collapsed="false">
      <c r="A222" s="8" t="n">
        <v>46210</v>
      </c>
      <c r="B222" s="9" t="n">
        <v>4</v>
      </c>
      <c r="C222" s="9" t="str">
        <f aca="false">"Unit "&amp;B222</f>
        <v>Unit 4</v>
      </c>
      <c r="D222" s="9" t="s">
        <v>76</v>
      </c>
      <c r="E222" s="9" t="n">
        <v>210</v>
      </c>
      <c r="F222" s="9" t="n">
        <v>0</v>
      </c>
      <c r="G222" s="9" t="n">
        <v>0</v>
      </c>
      <c r="H222" s="9" t="n">
        <v>210</v>
      </c>
      <c r="I222" s="11" t="n">
        <v>46208</v>
      </c>
      <c r="J222" s="9"/>
      <c r="K222" s="9" t="s">
        <v>84</v>
      </c>
      <c r="L222" s="9" t="n">
        <f aca="false">E222*24/1000</f>
        <v>5.04</v>
      </c>
      <c r="M222" s="10" t="n">
        <f aca="false">G222/L222</f>
        <v>0</v>
      </c>
      <c r="N222" s="9" t="n">
        <f aca="false">G222-F222</f>
        <v>0</v>
      </c>
      <c r="O222" s="10" t="str">
        <f aca="false">IF(F222=0,"",G222/F222)</f>
        <v/>
      </c>
      <c r="P222" s="9" t="n">
        <f aca="false">IF(H222&gt;0,1,0)</f>
        <v>1</v>
      </c>
      <c r="Q222" s="9" t="n">
        <f aca="false">IF(G222=0,1,0)</f>
        <v>1</v>
      </c>
      <c r="R222" s="9" t="str">
        <f aca="false">TEXT(A222,"mmm")</f>
        <v>Jul</v>
      </c>
      <c r="S222" s="9" t="n">
        <f aca="false">WEEKNUM(A222,2)</f>
        <v>28</v>
      </c>
      <c r="T222" s="9" t="str">
        <f aca="false">IF(A222&lt;DATE(2026,6,30),"1-Pre-outage",IF(A222&lt;DATE(2026,7,5),"2-Transition","3-Outage-heavy"))</f>
        <v>3-Outage-heavy</v>
      </c>
      <c r="U222" s="9" t="str">
        <f aca="false">IF(K222="","",IF(ISNUMBER(SEARCH("TURBINE",K222)),"Turbine",IF(ISNUMBER(SEARCH("GENERATOR",K222)),"Generator",IF(ISNUMBER(SEARCH("BOILER",K222)),"Boiler",IF(ISNUMBER(SEARCH("AIR PREHEATER",K222)),"Auxiliary",IF(ISNUMBER(SEARCH("ELECTRICAL",K222)),"Electrical","Other"))))))</f>
        <v>Turbine</v>
      </c>
      <c r="V222" s="9" t="n">
        <f aca="false">AVERAGEIFS(G:G,B:B,B222,H:H,0)</f>
        <v>3.53586206896552</v>
      </c>
      <c r="W222" s="9" t="n">
        <f aca="false">IF(P222=1,MAX(0,V222-G222),0)</f>
        <v>3.53586206896552</v>
      </c>
    </row>
    <row r="223" customFormat="false" ht="15" hidden="false" customHeight="false" outlineLevel="0" collapsed="false">
      <c r="A223" s="8" t="n">
        <v>46210</v>
      </c>
      <c r="B223" s="9" t="n">
        <v>5</v>
      </c>
      <c r="C223" s="9" t="str">
        <f aca="false">"Unit "&amp;B223</f>
        <v>Unit 5</v>
      </c>
      <c r="D223" s="9"/>
      <c r="E223" s="9" t="n">
        <v>210</v>
      </c>
      <c r="F223" s="9" t="n">
        <v>3.81</v>
      </c>
      <c r="G223" s="9" t="n">
        <v>3.9</v>
      </c>
      <c r="H223" s="9" t="n">
        <v>0</v>
      </c>
      <c r="I223" s="9"/>
      <c r="J223" s="9"/>
      <c r="K223" s="9"/>
      <c r="L223" s="9" t="n">
        <f aca="false">E223*24/1000</f>
        <v>5.04</v>
      </c>
      <c r="M223" s="10" t="n">
        <f aca="false">G223/L223</f>
        <v>0.773809523809524</v>
      </c>
      <c r="N223" s="9" t="n">
        <f aca="false">G223-F223</f>
        <v>0.0899999999999999</v>
      </c>
      <c r="O223" s="10" t="n">
        <f aca="false">IF(F223=0,"",G223/F223)</f>
        <v>1.02362204724409</v>
      </c>
      <c r="P223" s="9" t="n">
        <f aca="false">IF(H223&gt;0,1,0)</f>
        <v>0</v>
      </c>
      <c r="Q223" s="9" t="n">
        <f aca="false">IF(G223=0,1,0)</f>
        <v>0</v>
      </c>
      <c r="R223" s="9" t="str">
        <f aca="false">TEXT(A223,"mmm")</f>
        <v>Jul</v>
      </c>
      <c r="S223" s="9" t="n">
        <f aca="false">WEEKNUM(A223,2)</f>
        <v>28</v>
      </c>
      <c r="T223" s="9" t="str">
        <f aca="false">IF(A223&lt;DATE(2026,6,30),"1-Pre-outage",IF(A223&lt;DATE(2026,7,5),"2-Transition","3-Outage-heavy"))</f>
        <v>3-Outage-heavy</v>
      </c>
      <c r="U223" s="9" t="str">
        <f aca="false">IF(K223="","",IF(ISNUMBER(SEARCH("TURBINE",K223)),"Turbine",IF(ISNUMBER(SEARCH("GENERATOR",K223)),"Generator",IF(ISNUMBER(SEARCH("BOILER",K223)),"Boiler",IF(ISNUMBER(SEARCH("AIR PREHEATER",K223)),"Auxiliary",IF(ISNUMBER(SEARCH("ELECTRICAL",K223)),"Electrical","Other"))))))</f>
        <v/>
      </c>
      <c r="V223" s="9" t="n">
        <f aca="false">AVERAGEIFS(G:G,B:B,B223,H:H,0)</f>
        <v>3.98888888888889</v>
      </c>
      <c r="W223" s="9" t="n">
        <f aca="false">IF(P223=1,MAX(0,V223-G223),0)</f>
        <v>0</v>
      </c>
    </row>
    <row r="224" customFormat="false" ht="15" hidden="false" customHeight="false" outlineLevel="0" collapsed="false">
      <c r="A224" s="8" t="n">
        <v>46210</v>
      </c>
      <c r="B224" s="9" t="n">
        <v>6</v>
      </c>
      <c r="C224" s="9" t="str">
        <f aca="false">"Unit "&amp;B224</f>
        <v>Unit 6</v>
      </c>
      <c r="D224" s="9"/>
      <c r="E224" s="9" t="n">
        <v>195</v>
      </c>
      <c r="F224" s="9" t="n">
        <v>3.84</v>
      </c>
      <c r="G224" s="9" t="n">
        <v>3.84</v>
      </c>
      <c r="H224" s="9" t="n">
        <v>0</v>
      </c>
      <c r="I224" s="9"/>
      <c r="J224" s="9"/>
      <c r="K224" s="9"/>
      <c r="L224" s="9" t="n">
        <f aca="false">E224*24/1000</f>
        <v>4.68</v>
      </c>
      <c r="M224" s="10" t="n">
        <f aca="false">G224/L224</f>
        <v>0.820512820512821</v>
      </c>
      <c r="N224" s="9" t="n">
        <f aca="false">G224-F224</f>
        <v>0</v>
      </c>
      <c r="O224" s="10" t="n">
        <f aca="false">IF(F224=0,"",G224/F224)</f>
        <v>1</v>
      </c>
      <c r="P224" s="9" t="n">
        <f aca="false">IF(H224&gt;0,1,0)</f>
        <v>0</v>
      </c>
      <c r="Q224" s="9" t="n">
        <f aca="false">IF(G224=0,1,0)</f>
        <v>0</v>
      </c>
      <c r="R224" s="9" t="str">
        <f aca="false">TEXT(A224,"mmm")</f>
        <v>Jul</v>
      </c>
      <c r="S224" s="9" t="n">
        <f aca="false">WEEKNUM(A224,2)</f>
        <v>28</v>
      </c>
      <c r="T224" s="9" t="str">
        <f aca="false">IF(A224&lt;DATE(2026,6,30),"1-Pre-outage",IF(A224&lt;DATE(2026,7,5),"2-Transition","3-Outage-heavy"))</f>
        <v>3-Outage-heavy</v>
      </c>
      <c r="U224" s="9" t="str">
        <f aca="false">IF(K224="","",IF(ISNUMBER(SEARCH("TURBINE",K224)),"Turbine",IF(ISNUMBER(SEARCH("GENERATOR",K224)),"Generator",IF(ISNUMBER(SEARCH("BOILER",K224)),"Boiler",IF(ISNUMBER(SEARCH("AIR PREHEATER",K224)),"Auxiliary",IF(ISNUMBER(SEARCH("ELECTRICAL",K224)),"Electrical","Other"))))))</f>
        <v/>
      </c>
      <c r="V224" s="9" t="n">
        <f aca="false">AVERAGEIFS(G:G,B:B,B224,H:H,0)</f>
        <v>3.85377777777778</v>
      </c>
      <c r="W224" s="9" t="n">
        <f aca="false">IF(P224=1,MAX(0,V224-G224),0)</f>
        <v>0</v>
      </c>
    </row>
    <row r="225" customFormat="false" ht="15" hidden="false" customHeight="false" outlineLevel="0" collapsed="false">
      <c r="A225" s="8" t="n">
        <v>46210</v>
      </c>
      <c r="B225" s="9" t="n">
        <v>7</v>
      </c>
      <c r="C225" s="9" t="str">
        <f aca="false">"Unit "&amp;B225</f>
        <v>Unit 7</v>
      </c>
      <c r="D225" s="9"/>
      <c r="E225" s="9" t="n">
        <v>195</v>
      </c>
      <c r="F225" s="9" t="n">
        <v>0</v>
      </c>
      <c r="G225" s="9" t="n">
        <v>3.95</v>
      </c>
      <c r="H225" s="9" t="n">
        <v>0</v>
      </c>
      <c r="I225" s="9"/>
      <c r="J225" s="9"/>
      <c r="K225" s="9"/>
      <c r="L225" s="9" t="n">
        <f aca="false">E225*24/1000</f>
        <v>4.68</v>
      </c>
      <c r="M225" s="10" t="n">
        <f aca="false">G225/L225</f>
        <v>0.844017094017094</v>
      </c>
      <c r="N225" s="9" t="n">
        <f aca="false">G225-F225</f>
        <v>3.95</v>
      </c>
      <c r="O225" s="10" t="str">
        <f aca="false">IF(F225=0,"",G225/F225)</f>
        <v/>
      </c>
      <c r="P225" s="9" t="n">
        <f aca="false">IF(H225&gt;0,1,0)</f>
        <v>0</v>
      </c>
      <c r="Q225" s="9" t="n">
        <f aca="false">IF(G225=0,1,0)</f>
        <v>0</v>
      </c>
      <c r="R225" s="9" t="str">
        <f aca="false">TEXT(A225,"mmm")</f>
        <v>Jul</v>
      </c>
      <c r="S225" s="9" t="n">
        <f aca="false">WEEKNUM(A225,2)</f>
        <v>28</v>
      </c>
      <c r="T225" s="9" t="str">
        <f aca="false">IF(A225&lt;DATE(2026,6,30),"1-Pre-outage",IF(A225&lt;DATE(2026,7,5),"2-Transition","3-Outage-heavy"))</f>
        <v>3-Outage-heavy</v>
      </c>
      <c r="U225" s="9" t="str">
        <f aca="false">IF(K225="","",IF(ISNUMBER(SEARCH("TURBINE",K225)),"Turbine",IF(ISNUMBER(SEARCH("GENERATOR",K225)),"Generator",IF(ISNUMBER(SEARCH("BOILER",K225)),"Boiler",IF(ISNUMBER(SEARCH("AIR PREHEATER",K225)),"Auxiliary",IF(ISNUMBER(SEARCH("ELECTRICAL",K225)),"Electrical","Other"))))))</f>
        <v/>
      </c>
      <c r="V225" s="9" t="n">
        <f aca="false">AVERAGEIFS(G:G,B:B,B225,H:H,0)</f>
        <v>3.98375</v>
      </c>
      <c r="W225" s="9" t="n">
        <f aca="false">IF(P225=1,MAX(0,V225-G225),0)</f>
        <v>0</v>
      </c>
    </row>
    <row r="226" customFormat="false" ht="15" hidden="false" customHeight="false" outlineLevel="0" collapsed="false">
      <c r="A226" s="8" t="n">
        <v>46211</v>
      </c>
      <c r="B226" s="9" t="n">
        <v>1</v>
      </c>
      <c r="C226" s="9" t="str">
        <f aca="false">"Unit "&amp;B226</f>
        <v>Unit 1</v>
      </c>
      <c r="D226" s="9"/>
      <c r="E226" s="9" t="n">
        <v>110</v>
      </c>
      <c r="F226" s="9" t="n">
        <v>1.84</v>
      </c>
      <c r="G226" s="9" t="n">
        <v>1.51</v>
      </c>
      <c r="H226" s="9" t="n">
        <v>0</v>
      </c>
      <c r="I226" s="9"/>
      <c r="J226" s="9"/>
      <c r="K226" s="9"/>
      <c r="L226" s="9" t="n">
        <f aca="false">E226*24/1000</f>
        <v>2.64</v>
      </c>
      <c r="M226" s="10" t="n">
        <f aca="false">G226/L226</f>
        <v>0.571969696969697</v>
      </c>
      <c r="N226" s="9" t="n">
        <f aca="false">G226-F226</f>
        <v>-0.33</v>
      </c>
      <c r="O226" s="10" t="n">
        <f aca="false">IF(F226=0,"",G226/F226)</f>
        <v>0.820652173913044</v>
      </c>
      <c r="P226" s="9" t="n">
        <f aca="false">IF(H226&gt;0,1,0)</f>
        <v>0</v>
      </c>
      <c r="Q226" s="9" t="n">
        <f aca="false">IF(G226=0,1,0)</f>
        <v>0</v>
      </c>
      <c r="R226" s="9" t="str">
        <f aca="false">TEXT(A226,"mmm")</f>
        <v>Jul</v>
      </c>
      <c r="S226" s="9" t="n">
        <f aca="false">WEEKNUM(A226,2)</f>
        <v>28</v>
      </c>
      <c r="T226" s="9" t="str">
        <f aca="false">IF(A226&lt;DATE(2026,6,30),"1-Pre-outage",IF(A226&lt;DATE(2026,7,5),"2-Transition","3-Outage-heavy"))</f>
        <v>3-Outage-heavy</v>
      </c>
      <c r="U226" s="9" t="str">
        <f aca="false">IF(K226="","",IF(ISNUMBER(SEARCH("TURBINE",K226)),"Turbine",IF(ISNUMBER(SEARCH("GENERATOR",K226)),"Generator",IF(ISNUMBER(SEARCH("BOILER",K226)),"Boiler",IF(ISNUMBER(SEARCH("AIR PREHEATER",K226)),"Auxiliary",IF(ISNUMBER(SEARCH("ELECTRICAL",K226)),"Electrical","Other"))))))</f>
        <v/>
      </c>
      <c r="V226" s="9" t="n">
        <f aca="false">AVERAGEIFS(G:G,B:B,B226,H:H,0)</f>
        <v>1.61181818181818</v>
      </c>
      <c r="W226" s="9" t="n">
        <f aca="false">IF(P226=1,MAX(0,V226-G226),0)</f>
        <v>0</v>
      </c>
    </row>
    <row r="227" customFormat="false" ht="15" hidden="false" customHeight="false" outlineLevel="0" collapsed="false">
      <c r="A227" s="8" t="n">
        <v>46211</v>
      </c>
      <c r="B227" s="9" t="n">
        <v>2</v>
      </c>
      <c r="C227" s="9" t="str">
        <f aca="false">"Unit "&amp;B227</f>
        <v>Unit 2</v>
      </c>
      <c r="D227" s="9"/>
      <c r="E227" s="9" t="n">
        <v>110</v>
      </c>
      <c r="F227" s="9" t="n">
        <v>1.87</v>
      </c>
      <c r="G227" s="9" t="n">
        <v>1.53</v>
      </c>
      <c r="H227" s="9" t="n">
        <v>0</v>
      </c>
      <c r="I227" s="9"/>
      <c r="J227" s="9"/>
      <c r="K227" s="9"/>
      <c r="L227" s="9" t="n">
        <f aca="false">E227*24/1000</f>
        <v>2.64</v>
      </c>
      <c r="M227" s="10" t="n">
        <f aca="false">G227/L227</f>
        <v>0.579545454545455</v>
      </c>
      <c r="N227" s="9" t="n">
        <f aca="false">G227-F227</f>
        <v>-0.34</v>
      </c>
      <c r="O227" s="10" t="n">
        <f aca="false">IF(F227=0,"",G227/F227)</f>
        <v>0.818181818181818</v>
      </c>
      <c r="P227" s="9" t="n">
        <f aca="false">IF(H227&gt;0,1,0)</f>
        <v>0</v>
      </c>
      <c r="Q227" s="9" t="n">
        <f aca="false">IF(G227=0,1,0)</f>
        <v>0</v>
      </c>
      <c r="R227" s="9" t="str">
        <f aca="false">TEXT(A227,"mmm")</f>
        <v>Jul</v>
      </c>
      <c r="S227" s="9" t="n">
        <f aca="false">WEEKNUM(A227,2)</f>
        <v>28</v>
      </c>
      <c r="T227" s="9" t="str">
        <f aca="false">IF(A227&lt;DATE(2026,6,30),"1-Pre-outage",IF(A227&lt;DATE(2026,7,5),"2-Transition","3-Outage-heavy"))</f>
        <v>3-Outage-heavy</v>
      </c>
      <c r="U227" s="9" t="str">
        <f aca="false">IF(K227="","",IF(ISNUMBER(SEARCH("TURBINE",K227)),"Turbine",IF(ISNUMBER(SEARCH("GENERATOR",K227)),"Generator",IF(ISNUMBER(SEARCH("BOILER",K227)),"Boiler",IF(ISNUMBER(SEARCH("AIR PREHEATER",K227)),"Auxiliary",IF(ISNUMBER(SEARCH("ELECTRICAL",K227)),"Electrical","Other"))))))</f>
        <v/>
      </c>
      <c r="V227" s="9" t="n">
        <f aca="false">AVERAGEIFS(G:G,B:B,B227,H:H,0)</f>
        <v>1.67955555555556</v>
      </c>
      <c r="W227" s="9" t="n">
        <f aca="false">IF(P227=1,MAX(0,V227-G227),0)</f>
        <v>0</v>
      </c>
    </row>
    <row r="228" customFormat="false" ht="15" hidden="false" customHeight="false" outlineLevel="0" collapsed="false">
      <c r="A228" s="8" t="n">
        <v>46211</v>
      </c>
      <c r="B228" s="9" t="n">
        <v>3</v>
      </c>
      <c r="C228" s="9" t="str">
        <f aca="false">"Unit "&amp;B228</f>
        <v>Unit 3</v>
      </c>
      <c r="D228" s="9"/>
      <c r="E228" s="9" t="n">
        <v>210</v>
      </c>
      <c r="F228" s="9" t="n">
        <v>3.67</v>
      </c>
      <c r="G228" s="9" t="n">
        <v>3.53</v>
      </c>
      <c r="H228" s="9" t="n">
        <v>0</v>
      </c>
      <c r="I228" s="9"/>
      <c r="J228" s="9"/>
      <c r="K228" s="9"/>
      <c r="L228" s="9" t="n">
        <f aca="false">E228*24/1000</f>
        <v>5.04</v>
      </c>
      <c r="M228" s="10" t="n">
        <f aca="false">G228/L228</f>
        <v>0.700396825396825</v>
      </c>
      <c r="N228" s="9" t="n">
        <f aca="false">G228-F228</f>
        <v>-0.14</v>
      </c>
      <c r="O228" s="10" t="n">
        <f aca="false">IF(F228=0,"",G228/F228)</f>
        <v>0.961852861035422</v>
      </c>
      <c r="P228" s="9" t="n">
        <f aca="false">IF(H228&gt;0,1,0)</f>
        <v>0</v>
      </c>
      <c r="Q228" s="9" t="n">
        <f aca="false">IF(G228=0,1,0)</f>
        <v>0</v>
      </c>
      <c r="R228" s="9" t="str">
        <f aca="false">TEXT(A228,"mmm")</f>
        <v>Jul</v>
      </c>
      <c r="S228" s="9" t="n">
        <f aca="false">WEEKNUM(A228,2)</f>
        <v>28</v>
      </c>
      <c r="T228" s="9" t="str">
        <f aca="false">IF(A228&lt;DATE(2026,6,30),"1-Pre-outage",IF(A228&lt;DATE(2026,7,5),"2-Transition","3-Outage-heavy"))</f>
        <v>3-Outage-heavy</v>
      </c>
      <c r="U228" s="9" t="str">
        <f aca="false">IF(K228="","",IF(ISNUMBER(SEARCH("TURBINE",K228)),"Turbine",IF(ISNUMBER(SEARCH("GENERATOR",K228)),"Generator",IF(ISNUMBER(SEARCH("BOILER",K228)),"Boiler",IF(ISNUMBER(SEARCH("AIR PREHEATER",K228)),"Auxiliary",IF(ISNUMBER(SEARCH("ELECTRICAL",K228)),"Electrical","Other"))))))</f>
        <v/>
      </c>
      <c r="V228" s="9" t="n">
        <f aca="false">AVERAGEIFS(G:G,B:B,B228,H:H,0)</f>
        <v>3.72697674418605</v>
      </c>
      <c r="W228" s="9" t="n">
        <f aca="false">IF(P228=1,MAX(0,V228-G228),0)</f>
        <v>0</v>
      </c>
    </row>
    <row r="229" customFormat="false" ht="15" hidden="false" customHeight="false" outlineLevel="0" collapsed="false">
      <c r="A229" s="8" t="n">
        <v>46211</v>
      </c>
      <c r="B229" s="9" t="n">
        <v>4</v>
      </c>
      <c r="C229" s="9" t="str">
        <f aca="false">"Unit "&amp;B229</f>
        <v>Unit 4</v>
      </c>
      <c r="D229" s="9" t="s">
        <v>76</v>
      </c>
      <c r="E229" s="9" t="n">
        <v>210</v>
      </c>
      <c r="F229" s="9" t="n">
        <v>0</v>
      </c>
      <c r="G229" s="9" t="n">
        <v>0</v>
      </c>
      <c r="H229" s="9" t="n">
        <v>210</v>
      </c>
      <c r="I229" s="11" t="n">
        <v>46208</v>
      </c>
      <c r="J229" s="9"/>
      <c r="K229" s="9" t="s">
        <v>84</v>
      </c>
      <c r="L229" s="9" t="n">
        <f aca="false">E229*24/1000</f>
        <v>5.04</v>
      </c>
      <c r="M229" s="10" t="n">
        <f aca="false">G229/L229</f>
        <v>0</v>
      </c>
      <c r="N229" s="9" t="n">
        <f aca="false">G229-F229</f>
        <v>0</v>
      </c>
      <c r="O229" s="10" t="str">
        <f aca="false">IF(F229=0,"",G229/F229)</f>
        <v/>
      </c>
      <c r="P229" s="9" t="n">
        <f aca="false">IF(H229&gt;0,1,0)</f>
        <v>1</v>
      </c>
      <c r="Q229" s="9" t="n">
        <f aca="false">IF(G229=0,1,0)</f>
        <v>1</v>
      </c>
      <c r="R229" s="9" t="str">
        <f aca="false">TEXT(A229,"mmm")</f>
        <v>Jul</v>
      </c>
      <c r="S229" s="9" t="n">
        <f aca="false">WEEKNUM(A229,2)</f>
        <v>28</v>
      </c>
      <c r="T229" s="9" t="str">
        <f aca="false">IF(A229&lt;DATE(2026,6,30),"1-Pre-outage",IF(A229&lt;DATE(2026,7,5),"2-Transition","3-Outage-heavy"))</f>
        <v>3-Outage-heavy</v>
      </c>
      <c r="U229" s="9" t="str">
        <f aca="false">IF(K229="","",IF(ISNUMBER(SEARCH("TURBINE",K229)),"Turbine",IF(ISNUMBER(SEARCH("GENERATOR",K229)),"Generator",IF(ISNUMBER(SEARCH("BOILER",K229)),"Boiler",IF(ISNUMBER(SEARCH("AIR PREHEATER",K229)),"Auxiliary",IF(ISNUMBER(SEARCH("ELECTRICAL",K229)),"Electrical","Other"))))))</f>
        <v>Turbine</v>
      </c>
      <c r="V229" s="9" t="n">
        <f aca="false">AVERAGEIFS(G:G,B:B,B229,H:H,0)</f>
        <v>3.53586206896552</v>
      </c>
      <c r="W229" s="9" t="n">
        <f aca="false">IF(P229=1,MAX(0,V229-G229),0)</f>
        <v>3.53586206896552</v>
      </c>
    </row>
    <row r="230" customFormat="false" ht="15" hidden="false" customHeight="false" outlineLevel="0" collapsed="false">
      <c r="A230" s="8" t="n">
        <v>46211</v>
      </c>
      <c r="B230" s="9" t="n">
        <v>5</v>
      </c>
      <c r="C230" s="9" t="str">
        <f aca="false">"Unit "&amp;B230</f>
        <v>Unit 5</v>
      </c>
      <c r="D230" s="9"/>
      <c r="E230" s="9" t="n">
        <v>210</v>
      </c>
      <c r="F230" s="9" t="n">
        <v>3.81</v>
      </c>
      <c r="G230" s="9" t="n">
        <v>3.86</v>
      </c>
      <c r="H230" s="9" t="n">
        <v>0</v>
      </c>
      <c r="I230" s="9"/>
      <c r="J230" s="9"/>
      <c r="K230" s="9"/>
      <c r="L230" s="9" t="n">
        <f aca="false">E230*24/1000</f>
        <v>5.04</v>
      </c>
      <c r="M230" s="10" t="n">
        <f aca="false">G230/L230</f>
        <v>0.765873015873016</v>
      </c>
      <c r="N230" s="9" t="n">
        <f aca="false">G230-F230</f>
        <v>0.0499999999999998</v>
      </c>
      <c r="O230" s="10" t="n">
        <f aca="false">IF(F230=0,"",G230/F230)</f>
        <v>1.01312335958005</v>
      </c>
      <c r="P230" s="9" t="n">
        <f aca="false">IF(H230&gt;0,1,0)</f>
        <v>0</v>
      </c>
      <c r="Q230" s="9" t="n">
        <f aca="false">IF(G230=0,1,0)</f>
        <v>0</v>
      </c>
      <c r="R230" s="9" t="str">
        <f aca="false">TEXT(A230,"mmm")</f>
        <v>Jul</v>
      </c>
      <c r="S230" s="9" t="n">
        <f aca="false">WEEKNUM(A230,2)</f>
        <v>28</v>
      </c>
      <c r="T230" s="9" t="str">
        <f aca="false">IF(A230&lt;DATE(2026,6,30),"1-Pre-outage",IF(A230&lt;DATE(2026,7,5),"2-Transition","3-Outage-heavy"))</f>
        <v>3-Outage-heavy</v>
      </c>
      <c r="U230" s="9" t="str">
        <f aca="false">IF(K230="","",IF(ISNUMBER(SEARCH("TURBINE",K230)),"Turbine",IF(ISNUMBER(SEARCH("GENERATOR",K230)),"Generator",IF(ISNUMBER(SEARCH("BOILER",K230)),"Boiler",IF(ISNUMBER(SEARCH("AIR PREHEATER",K230)),"Auxiliary",IF(ISNUMBER(SEARCH("ELECTRICAL",K230)),"Electrical","Other"))))))</f>
        <v/>
      </c>
      <c r="V230" s="9" t="n">
        <f aca="false">AVERAGEIFS(G:G,B:B,B230,H:H,0)</f>
        <v>3.98888888888889</v>
      </c>
      <c r="W230" s="9" t="n">
        <f aca="false">IF(P230=1,MAX(0,V230-G230),0)</f>
        <v>0</v>
      </c>
    </row>
    <row r="231" customFormat="false" ht="15" hidden="false" customHeight="false" outlineLevel="0" collapsed="false">
      <c r="A231" s="8" t="n">
        <v>46211</v>
      </c>
      <c r="B231" s="9" t="n">
        <v>6</v>
      </c>
      <c r="C231" s="9" t="str">
        <f aca="false">"Unit "&amp;B231</f>
        <v>Unit 6</v>
      </c>
      <c r="D231" s="9"/>
      <c r="E231" s="9" t="n">
        <v>195</v>
      </c>
      <c r="F231" s="9" t="n">
        <v>3.84</v>
      </c>
      <c r="G231" s="9" t="n">
        <v>3.84</v>
      </c>
      <c r="H231" s="9" t="n">
        <v>0</v>
      </c>
      <c r="I231" s="9"/>
      <c r="J231" s="9"/>
      <c r="K231" s="9"/>
      <c r="L231" s="9" t="n">
        <f aca="false">E231*24/1000</f>
        <v>4.68</v>
      </c>
      <c r="M231" s="10" t="n">
        <f aca="false">G231/L231</f>
        <v>0.820512820512821</v>
      </c>
      <c r="N231" s="9" t="n">
        <f aca="false">G231-F231</f>
        <v>0</v>
      </c>
      <c r="O231" s="10" t="n">
        <f aca="false">IF(F231=0,"",G231/F231)</f>
        <v>1</v>
      </c>
      <c r="P231" s="9" t="n">
        <f aca="false">IF(H231&gt;0,1,0)</f>
        <v>0</v>
      </c>
      <c r="Q231" s="9" t="n">
        <f aca="false">IF(G231=0,1,0)</f>
        <v>0</v>
      </c>
      <c r="R231" s="9" t="str">
        <f aca="false">TEXT(A231,"mmm")</f>
        <v>Jul</v>
      </c>
      <c r="S231" s="9" t="n">
        <f aca="false">WEEKNUM(A231,2)</f>
        <v>28</v>
      </c>
      <c r="T231" s="9" t="str">
        <f aca="false">IF(A231&lt;DATE(2026,6,30),"1-Pre-outage",IF(A231&lt;DATE(2026,7,5),"2-Transition","3-Outage-heavy"))</f>
        <v>3-Outage-heavy</v>
      </c>
      <c r="U231" s="9" t="str">
        <f aca="false">IF(K231="","",IF(ISNUMBER(SEARCH("TURBINE",K231)),"Turbine",IF(ISNUMBER(SEARCH("GENERATOR",K231)),"Generator",IF(ISNUMBER(SEARCH("BOILER",K231)),"Boiler",IF(ISNUMBER(SEARCH("AIR PREHEATER",K231)),"Auxiliary",IF(ISNUMBER(SEARCH("ELECTRICAL",K231)),"Electrical","Other"))))))</f>
        <v/>
      </c>
      <c r="V231" s="9" t="n">
        <f aca="false">AVERAGEIFS(G:G,B:B,B231,H:H,0)</f>
        <v>3.85377777777778</v>
      </c>
      <c r="W231" s="9" t="n">
        <f aca="false">IF(P231=1,MAX(0,V231-G231),0)</f>
        <v>0</v>
      </c>
    </row>
    <row r="232" customFormat="false" ht="15" hidden="false" customHeight="false" outlineLevel="0" collapsed="false">
      <c r="A232" s="8" t="n">
        <v>46211</v>
      </c>
      <c r="B232" s="9" t="n">
        <v>7</v>
      </c>
      <c r="C232" s="9" t="str">
        <f aca="false">"Unit "&amp;B232</f>
        <v>Unit 7</v>
      </c>
      <c r="D232" s="9"/>
      <c r="E232" s="9" t="n">
        <v>195</v>
      </c>
      <c r="F232" s="9" t="n">
        <v>0</v>
      </c>
      <c r="G232" s="9" t="n">
        <v>3.89</v>
      </c>
      <c r="H232" s="9" t="n">
        <v>0</v>
      </c>
      <c r="I232" s="9"/>
      <c r="J232" s="9"/>
      <c r="K232" s="9"/>
      <c r="L232" s="9" t="n">
        <f aca="false">E232*24/1000</f>
        <v>4.68</v>
      </c>
      <c r="M232" s="10" t="n">
        <f aca="false">G232/L232</f>
        <v>0.831196581196581</v>
      </c>
      <c r="N232" s="9" t="n">
        <f aca="false">G232-F232</f>
        <v>3.89</v>
      </c>
      <c r="O232" s="10" t="str">
        <f aca="false">IF(F232=0,"",G232/F232)</f>
        <v/>
      </c>
      <c r="P232" s="9" t="n">
        <f aca="false">IF(H232&gt;0,1,0)</f>
        <v>0</v>
      </c>
      <c r="Q232" s="9" t="n">
        <f aca="false">IF(G232=0,1,0)</f>
        <v>0</v>
      </c>
      <c r="R232" s="9" t="str">
        <f aca="false">TEXT(A232,"mmm")</f>
        <v>Jul</v>
      </c>
      <c r="S232" s="9" t="n">
        <f aca="false">WEEKNUM(A232,2)</f>
        <v>28</v>
      </c>
      <c r="T232" s="9" t="str">
        <f aca="false">IF(A232&lt;DATE(2026,6,30),"1-Pre-outage",IF(A232&lt;DATE(2026,7,5),"2-Transition","3-Outage-heavy"))</f>
        <v>3-Outage-heavy</v>
      </c>
      <c r="U232" s="9" t="str">
        <f aca="false">IF(K232="","",IF(ISNUMBER(SEARCH("TURBINE",K232)),"Turbine",IF(ISNUMBER(SEARCH("GENERATOR",K232)),"Generator",IF(ISNUMBER(SEARCH("BOILER",K232)),"Boiler",IF(ISNUMBER(SEARCH("AIR PREHEATER",K232)),"Auxiliary",IF(ISNUMBER(SEARCH("ELECTRICAL",K232)),"Electrical","Other"))))))</f>
        <v/>
      </c>
      <c r="V232" s="9" t="n">
        <f aca="false">AVERAGEIFS(G:G,B:B,B232,H:H,0)</f>
        <v>3.98375</v>
      </c>
      <c r="W232" s="9" t="n">
        <f aca="false">IF(P232=1,MAX(0,V232-G232),0)</f>
        <v>0</v>
      </c>
    </row>
    <row r="233" customFormat="false" ht="15" hidden="false" customHeight="false" outlineLevel="0" collapsed="false">
      <c r="A233" s="8" t="n">
        <v>46212</v>
      </c>
      <c r="B233" s="9" t="n">
        <v>1</v>
      </c>
      <c r="C233" s="9" t="str">
        <f aca="false">"Unit "&amp;B233</f>
        <v>Unit 1</v>
      </c>
      <c r="D233" s="9" t="s">
        <v>76</v>
      </c>
      <c r="E233" s="9" t="n">
        <v>110</v>
      </c>
      <c r="F233" s="9" t="n">
        <v>1.84</v>
      </c>
      <c r="G233" s="9" t="n">
        <v>0</v>
      </c>
      <c r="H233" s="9" t="n">
        <v>110</v>
      </c>
      <c r="I233" s="11" t="n">
        <v>46212.0006944445</v>
      </c>
      <c r="J233" s="9"/>
      <c r="K233" s="9" t="s">
        <v>90</v>
      </c>
      <c r="L233" s="9" t="n">
        <f aca="false">E233*24/1000</f>
        <v>2.64</v>
      </c>
      <c r="M233" s="10" t="n">
        <f aca="false">G233/L233</f>
        <v>0</v>
      </c>
      <c r="N233" s="9" t="n">
        <f aca="false">G233-F233</f>
        <v>-1.84</v>
      </c>
      <c r="O233" s="10" t="n">
        <f aca="false">IF(F233=0,"",G233/F233)</f>
        <v>0</v>
      </c>
      <c r="P233" s="9" t="n">
        <f aca="false">IF(H233&gt;0,1,0)</f>
        <v>1</v>
      </c>
      <c r="Q233" s="9" t="n">
        <f aca="false">IF(G233=0,1,0)</f>
        <v>1</v>
      </c>
      <c r="R233" s="9" t="str">
        <f aca="false">TEXT(A233,"mmm")</f>
        <v>Jul</v>
      </c>
      <c r="S233" s="9" t="n">
        <f aca="false">WEEKNUM(A233,2)</f>
        <v>28</v>
      </c>
      <c r="T233" s="9" t="str">
        <f aca="false">IF(A233&lt;DATE(2026,6,30),"1-Pre-outage",IF(A233&lt;DATE(2026,7,5),"2-Transition","3-Outage-heavy"))</f>
        <v>3-Outage-heavy</v>
      </c>
      <c r="U233" s="9" t="str">
        <f aca="false">IF(K233="","",IF(ISNUMBER(SEARCH("TURBINE",K233)),"Turbine",IF(ISNUMBER(SEARCH("GENERATOR",K233)),"Generator",IF(ISNUMBER(SEARCH("BOILER",K233)),"Boiler",IF(ISNUMBER(SEARCH("AIR PREHEATER",K233)),"Auxiliary",IF(ISNUMBER(SEARCH("ELECTRICAL",K233)),"Electrical","Other"))))))</f>
        <v>Generator</v>
      </c>
      <c r="V233" s="9" t="n">
        <f aca="false">AVERAGEIFS(G:G,B:B,B233,H:H,0)</f>
        <v>1.61181818181818</v>
      </c>
      <c r="W233" s="9" t="n">
        <f aca="false">IF(P233=1,MAX(0,V233-G233),0)</f>
        <v>1.61181818181818</v>
      </c>
    </row>
    <row r="234" customFormat="false" ht="15" hidden="false" customHeight="false" outlineLevel="0" collapsed="false">
      <c r="A234" s="8" t="n">
        <v>46212</v>
      </c>
      <c r="B234" s="9" t="n">
        <v>2</v>
      </c>
      <c r="C234" s="9" t="str">
        <f aca="false">"Unit "&amp;B234</f>
        <v>Unit 2</v>
      </c>
      <c r="D234" s="9"/>
      <c r="E234" s="9" t="n">
        <v>110</v>
      </c>
      <c r="F234" s="9" t="n">
        <v>1.87</v>
      </c>
      <c r="G234" s="9" t="n">
        <v>1.49</v>
      </c>
      <c r="H234" s="9" t="n">
        <v>0</v>
      </c>
      <c r="I234" s="9"/>
      <c r="J234" s="9"/>
      <c r="K234" s="9"/>
      <c r="L234" s="9" t="n">
        <f aca="false">E234*24/1000</f>
        <v>2.64</v>
      </c>
      <c r="M234" s="10" t="n">
        <f aca="false">G234/L234</f>
        <v>0.564393939393939</v>
      </c>
      <c r="N234" s="9" t="n">
        <f aca="false">G234-F234</f>
        <v>-0.38</v>
      </c>
      <c r="O234" s="10" t="n">
        <f aca="false">IF(F234=0,"",G234/F234)</f>
        <v>0.796791443850267</v>
      </c>
      <c r="P234" s="9" t="n">
        <f aca="false">IF(H234&gt;0,1,0)</f>
        <v>0</v>
      </c>
      <c r="Q234" s="9" t="n">
        <f aca="false">IF(G234=0,1,0)</f>
        <v>0</v>
      </c>
      <c r="R234" s="9" t="str">
        <f aca="false">TEXT(A234,"mmm")</f>
        <v>Jul</v>
      </c>
      <c r="S234" s="9" t="n">
        <f aca="false">WEEKNUM(A234,2)</f>
        <v>28</v>
      </c>
      <c r="T234" s="9" t="str">
        <f aca="false">IF(A234&lt;DATE(2026,6,30),"1-Pre-outage",IF(A234&lt;DATE(2026,7,5),"2-Transition","3-Outage-heavy"))</f>
        <v>3-Outage-heavy</v>
      </c>
      <c r="U234" s="9" t="str">
        <f aca="false">IF(K234="","",IF(ISNUMBER(SEARCH("TURBINE",K234)),"Turbine",IF(ISNUMBER(SEARCH("GENERATOR",K234)),"Generator",IF(ISNUMBER(SEARCH("BOILER",K234)),"Boiler",IF(ISNUMBER(SEARCH("AIR PREHEATER",K234)),"Auxiliary",IF(ISNUMBER(SEARCH("ELECTRICAL",K234)),"Electrical","Other"))))))</f>
        <v/>
      </c>
      <c r="V234" s="9" t="n">
        <f aca="false">AVERAGEIFS(G:G,B:B,B234,H:H,0)</f>
        <v>1.67955555555556</v>
      </c>
      <c r="W234" s="9" t="n">
        <f aca="false">IF(P234=1,MAX(0,V234-G234),0)</f>
        <v>0</v>
      </c>
    </row>
    <row r="235" customFormat="false" ht="15" hidden="false" customHeight="false" outlineLevel="0" collapsed="false">
      <c r="A235" s="8" t="n">
        <v>46212</v>
      </c>
      <c r="B235" s="9" t="n">
        <v>3</v>
      </c>
      <c r="C235" s="9" t="str">
        <f aca="false">"Unit "&amp;B235</f>
        <v>Unit 3</v>
      </c>
      <c r="D235" s="9" t="s">
        <v>76</v>
      </c>
      <c r="E235" s="9" t="n">
        <v>210</v>
      </c>
      <c r="F235" s="9" t="n">
        <v>3.67</v>
      </c>
      <c r="G235" s="9" t="n">
        <v>1.2</v>
      </c>
      <c r="H235" s="9" t="n">
        <v>210</v>
      </c>
      <c r="I235" s="11" t="n">
        <v>46212.36875</v>
      </c>
      <c r="J235" s="9"/>
      <c r="K235" s="9" t="s">
        <v>90</v>
      </c>
      <c r="L235" s="9" t="n">
        <f aca="false">E235*24/1000</f>
        <v>5.04</v>
      </c>
      <c r="M235" s="10" t="n">
        <f aca="false">G235/L235</f>
        <v>0.238095238095238</v>
      </c>
      <c r="N235" s="9" t="n">
        <f aca="false">G235-F235</f>
        <v>-2.47</v>
      </c>
      <c r="O235" s="10" t="n">
        <f aca="false">IF(F235=0,"",G235/F235)</f>
        <v>0.326975476839237</v>
      </c>
      <c r="P235" s="9" t="n">
        <f aca="false">IF(H235&gt;0,1,0)</f>
        <v>1</v>
      </c>
      <c r="Q235" s="9" t="n">
        <f aca="false">IF(G235=0,1,0)</f>
        <v>0</v>
      </c>
      <c r="R235" s="9" t="str">
        <f aca="false">TEXT(A235,"mmm")</f>
        <v>Jul</v>
      </c>
      <c r="S235" s="9" t="n">
        <f aca="false">WEEKNUM(A235,2)</f>
        <v>28</v>
      </c>
      <c r="T235" s="9" t="str">
        <f aca="false">IF(A235&lt;DATE(2026,6,30),"1-Pre-outage",IF(A235&lt;DATE(2026,7,5),"2-Transition","3-Outage-heavy"))</f>
        <v>3-Outage-heavy</v>
      </c>
      <c r="U235" s="9" t="str">
        <f aca="false">IF(K235="","",IF(ISNUMBER(SEARCH("TURBINE",K235)),"Turbine",IF(ISNUMBER(SEARCH("GENERATOR",K235)),"Generator",IF(ISNUMBER(SEARCH("BOILER",K235)),"Boiler",IF(ISNUMBER(SEARCH("AIR PREHEATER",K235)),"Auxiliary",IF(ISNUMBER(SEARCH("ELECTRICAL",K235)),"Electrical","Other"))))))</f>
        <v>Generator</v>
      </c>
      <c r="V235" s="9" t="n">
        <f aca="false">AVERAGEIFS(G:G,B:B,B235,H:H,0)</f>
        <v>3.72697674418605</v>
      </c>
      <c r="W235" s="9" t="n">
        <f aca="false">IF(P235=1,MAX(0,V235-G235),0)</f>
        <v>2.52697674418605</v>
      </c>
    </row>
    <row r="236" customFormat="false" ht="15" hidden="false" customHeight="false" outlineLevel="0" collapsed="false">
      <c r="A236" s="8" t="n">
        <v>46212</v>
      </c>
      <c r="B236" s="9" t="n">
        <v>4</v>
      </c>
      <c r="C236" s="9" t="str">
        <f aca="false">"Unit "&amp;B236</f>
        <v>Unit 4</v>
      </c>
      <c r="D236" s="9" t="s">
        <v>76</v>
      </c>
      <c r="E236" s="9" t="n">
        <v>210</v>
      </c>
      <c r="F236" s="9" t="n">
        <v>0</v>
      </c>
      <c r="G236" s="9" t="n">
        <v>0</v>
      </c>
      <c r="H236" s="9" t="n">
        <v>210</v>
      </c>
      <c r="I236" s="11" t="n">
        <v>46208</v>
      </c>
      <c r="J236" s="9"/>
      <c r="K236" s="9" t="s">
        <v>84</v>
      </c>
      <c r="L236" s="9" t="n">
        <f aca="false">E236*24/1000</f>
        <v>5.04</v>
      </c>
      <c r="M236" s="10" t="n">
        <f aca="false">G236/L236</f>
        <v>0</v>
      </c>
      <c r="N236" s="9" t="n">
        <f aca="false">G236-F236</f>
        <v>0</v>
      </c>
      <c r="O236" s="10" t="str">
        <f aca="false">IF(F236=0,"",G236/F236)</f>
        <v/>
      </c>
      <c r="P236" s="9" t="n">
        <f aca="false">IF(H236&gt;0,1,0)</f>
        <v>1</v>
      </c>
      <c r="Q236" s="9" t="n">
        <f aca="false">IF(G236=0,1,0)</f>
        <v>1</v>
      </c>
      <c r="R236" s="9" t="str">
        <f aca="false">TEXT(A236,"mmm")</f>
        <v>Jul</v>
      </c>
      <c r="S236" s="9" t="n">
        <f aca="false">WEEKNUM(A236,2)</f>
        <v>28</v>
      </c>
      <c r="T236" s="9" t="str">
        <f aca="false">IF(A236&lt;DATE(2026,6,30),"1-Pre-outage",IF(A236&lt;DATE(2026,7,5),"2-Transition","3-Outage-heavy"))</f>
        <v>3-Outage-heavy</v>
      </c>
      <c r="U236" s="9" t="str">
        <f aca="false">IF(K236="","",IF(ISNUMBER(SEARCH("TURBINE",K236)),"Turbine",IF(ISNUMBER(SEARCH("GENERATOR",K236)),"Generator",IF(ISNUMBER(SEARCH("BOILER",K236)),"Boiler",IF(ISNUMBER(SEARCH("AIR PREHEATER",K236)),"Auxiliary",IF(ISNUMBER(SEARCH("ELECTRICAL",K236)),"Electrical","Other"))))))</f>
        <v>Turbine</v>
      </c>
      <c r="V236" s="9" t="n">
        <f aca="false">AVERAGEIFS(G:G,B:B,B236,H:H,0)</f>
        <v>3.53586206896552</v>
      </c>
      <c r="W236" s="9" t="n">
        <f aca="false">IF(P236=1,MAX(0,V236-G236),0)</f>
        <v>3.53586206896552</v>
      </c>
    </row>
    <row r="237" customFormat="false" ht="15" hidden="false" customHeight="false" outlineLevel="0" collapsed="false">
      <c r="A237" s="8" t="n">
        <v>46212</v>
      </c>
      <c r="B237" s="9" t="n">
        <v>5</v>
      </c>
      <c r="C237" s="9" t="str">
        <f aca="false">"Unit "&amp;B237</f>
        <v>Unit 5</v>
      </c>
      <c r="D237" s="9"/>
      <c r="E237" s="9" t="n">
        <v>210</v>
      </c>
      <c r="F237" s="9" t="n">
        <v>3.81</v>
      </c>
      <c r="G237" s="9" t="n">
        <v>3.89</v>
      </c>
      <c r="H237" s="9" t="n">
        <v>0</v>
      </c>
      <c r="I237" s="9"/>
      <c r="J237" s="9"/>
      <c r="K237" s="9"/>
      <c r="L237" s="9" t="n">
        <f aca="false">E237*24/1000</f>
        <v>5.04</v>
      </c>
      <c r="M237" s="10" t="n">
        <f aca="false">G237/L237</f>
        <v>0.771825396825397</v>
      </c>
      <c r="N237" s="9" t="n">
        <f aca="false">G237-F237</f>
        <v>0.0800000000000001</v>
      </c>
      <c r="O237" s="10" t="n">
        <f aca="false">IF(F237=0,"",G237/F237)</f>
        <v>1.02099737532808</v>
      </c>
      <c r="P237" s="9" t="n">
        <f aca="false">IF(H237&gt;0,1,0)</f>
        <v>0</v>
      </c>
      <c r="Q237" s="9" t="n">
        <f aca="false">IF(G237=0,1,0)</f>
        <v>0</v>
      </c>
      <c r="R237" s="9" t="str">
        <f aca="false">TEXT(A237,"mmm")</f>
        <v>Jul</v>
      </c>
      <c r="S237" s="9" t="n">
        <f aca="false">WEEKNUM(A237,2)</f>
        <v>28</v>
      </c>
      <c r="T237" s="9" t="str">
        <f aca="false">IF(A237&lt;DATE(2026,6,30),"1-Pre-outage",IF(A237&lt;DATE(2026,7,5),"2-Transition","3-Outage-heavy"))</f>
        <v>3-Outage-heavy</v>
      </c>
      <c r="U237" s="9" t="str">
        <f aca="false">IF(K237="","",IF(ISNUMBER(SEARCH("TURBINE",K237)),"Turbine",IF(ISNUMBER(SEARCH("GENERATOR",K237)),"Generator",IF(ISNUMBER(SEARCH("BOILER",K237)),"Boiler",IF(ISNUMBER(SEARCH("AIR PREHEATER",K237)),"Auxiliary",IF(ISNUMBER(SEARCH("ELECTRICAL",K237)),"Electrical","Other"))))))</f>
        <v/>
      </c>
      <c r="V237" s="9" t="n">
        <f aca="false">AVERAGEIFS(G:G,B:B,B237,H:H,0)</f>
        <v>3.98888888888889</v>
      </c>
      <c r="W237" s="9" t="n">
        <f aca="false">IF(P237=1,MAX(0,V237-G237),0)</f>
        <v>0</v>
      </c>
    </row>
    <row r="238" customFormat="false" ht="15" hidden="false" customHeight="false" outlineLevel="0" collapsed="false">
      <c r="A238" s="8" t="n">
        <v>46212</v>
      </c>
      <c r="B238" s="9" t="n">
        <v>6</v>
      </c>
      <c r="C238" s="9" t="str">
        <f aca="false">"Unit "&amp;B238</f>
        <v>Unit 6</v>
      </c>
      <c r="D238" s="9"/>
      <c r="E238" s="9" t="n">
        <v>195</v>
      </c>
      <c r="F238" s="9" t="n">
        <v>3.84</v>
      </c>
      <c r="G238" s="9" t="n">
        <v>3.83</v>
      </c>
      <c r="H238" s="9" t="n">
        <v>0</v>
      </c>
      <c r="I238" s="9"/>
      <c r="J238" s="9"/>
      <c r="K238" s="9"/>
      <c r="L238" s="9" t="n">
        <f aca="false">E238*24/1000</f>
        <v>4.68</v>
      </c>
      <c r="M238" s="10" t="n">
        <f aca="false">G238/L238</f>
        <v>0.818376068376069</v>
      </c>
      <c r="N238" s="9" t="n">
        <f aca="false">G238-F238</f>
        <v>-0.00999999999999979</v>
      </c>
      <c r="O238" s="10" t="n">
        <f aca="false">IF(F238=0,"",G238/F238)</f>
        <v>0.997395833333333</v>
      </c>
      <c r="P238" s="9" t="n">
        <f aca="false">IF(H238&gt;0,1,0)</f>
        <v>0</v>
      </c>
      <c r="Q238" s="9" t="n">
        <f aca="false">IF(G238=0,1,0)</f>
        <v>0</v>
      </c>
      <c r="R238" s="9" t="str">
        <f aca="false">TEXT(A238,"mmm")</f>
        <v>Jul</v>
      </c>
      <c r="S238" s="9" t="n">
        <f aca="false">WEEKNUM(A238,2)</f>
        <v>28</v>
      </c>
      <c r="T238" s="9" t="str">
        <f aca="false">IF(A238&lt;DATE(2026,6,30),"1-Pre-outage",IF(A238&lt;DATE(2026,7,5),"2-Transition","3-Outage-heavy"))</f>
        <v>3-Outage-heavy</v>
      </c>
      <c r="U238" s="9" t="str">
        <f aca="false">IF(K238="","",IF(ISNUMBER(SEARCH("TURBINE",K238)),"Turbine",IF(ISNUMBER(SEARCH("GENERATOR",K238)),"Generator",IF(ISNUMBER(SEARCH("BOILER",K238)),"Boiler",IF(ISNUMBER(SEARCH("AIR PREHEATER",K238)),"Auxiliary",IF(ISNUMBER(SEARCH("ELECTRICAL",K238)),"Electrical","Other"))))))</f>
        <v/>
      </c>
      <c r="V238" s="9" t="n">
        <f aca="false">AVERAGEIFS(G:G,B:B,B238,H:H,0)</f>
        <v>3.85377777777778</v>
      </c>
      <c r="W238" s="9" t="n">
        <f aca="false">IF(P238=1,MAX(0,V238-G238),0)</f>
        <v>0</v>
      </c>
    </row>
    <row r="239" customFormat="false" ht="15" hidden="false" customHeight="false" outlineLevel="0" collapsed="false">
      <c r="A239" s="8" t="n">
        <v>46212</v>
      </c>
      <c r="B239" s="9" t="n">
        <v>7</v>
      </c>
      <c r="C239" s="9" t="str">
        <f aca="false">"Unit "&amp;B239</f>
        <v>Unit 7</v>
      </c>
      <c r="D239" s="9"/>
      <c r="E239" s="9" t="n">
        <v>195</v>
      </c>
      <c r="F239" s="9" t="n">
        <v>0</v>
      </c>
      <c r="G239" s="9" t="n">
        <v>3.88</v>
      </c>
      <c r="H239" s="9" t="n">
        <v>0</v>
      </c>
      <c r="I239" s="9"/>
      <c r="J239" s="9"/>
      <c r="K239" s="9"/>
      <c r="L239" s="9" t="n">
        <f aca="false">E239*24/1000</f>
        <v>4.68</v>
      </c>
      <c r="M239" s="10" t="n">
        <f aca="false">G239/L239</f>
        <v>0.829059829059829</v>
      </c>
      <c r="N239" s="9" t="n">
        <f aca="false">G239-F239</f>
        <v>3.88</v>
      </c>
      <c r="O239" s="10" t="str">
        <f aca="false">IF(F239=0,"",G239/F239)</f>
        <v/>
      </c>
      <c r="P239" s="9" t="n">
        <f aca="false">IF(H239&gt;0,1,0)</f>
        <v>0</v>
      </c>
      <c r="Q239" s="9" t="n">
        <f aca="false">IF(G239=0,1,0)</f>
        <v>0</v>
      </c>
      <c r="R239" s="9" t="str">
        <f aca="false">TEXT(A239,"mmm")</f>
        <v>Jul</v>
      </c>
      <c r="S239" s="9" t="n">
        <f aca="false">WEEKNUM(A239,2)</f>
        <v>28</v>
      </c>
      <c r="T239" s="9" t="str">
        <f aca="false">IF(A239&lt;DATE(2026,6,30),"1-Pre-outage",IF(A239&lt;DATE(2026,7,5),"2-Transition","3-Outage-heavy"))</f>
        <v>3-Outage-heavy</v>
      </c>
      <c r="U239" s="9" t="str">
        <f aca="false">IF(K239="","",IF(ISNUMBER(SEARCH("TURBINE",K239)),"Turbine",IF(ISNUMBER(SEARCH("GENERATOR",K239)),"Generator",IF(ISNUMBER(SEARCH("BOILER",K239)),"Boiler",IF(ISNUMBER(SEARCH("AIR PREHEATER",K239)),"Auxiliary",IF(ISNUMBER(SEARCH("ELECTRICAL",K239)),"Electrical","Other"))))))</f>
        <v/>
      </c>
      <c r="V239" s="9" t="n">
        <f aca="false">AVERAGEIFS(G:G,B:B,B239,H:H,0)</f>
        <v>3.98375</v>
      </c>
      <c r="W239" s="9" t="n">
        <f aca="false">IF(P239=1,MAX(0,V239-G239),0)</f>
        <v>0</v>
      </c>
    </row>
    <row r="240" customFormat="false" ht="15" hidden="false" customHeight="false" outlineLevel="0" collapsed="false">
      <c r="A240" s="8" t="n">
        <v>46213</v>
      </c>
      <c r="B240" s="9" t="n">
        <v>1</v>
      </c>
      <c r="C240" s="9" t="str">
        <f aca="false">"Unit "&amp;B240</f>
        <v>Unit 1</v>
      </c>
      <c r="D240" s="9" t="s">
        <v>76</v>
      </c>
      <c r="E240" s="9" t="n">
        <v>110</v>
      </c>
      <c r="F240" s="9" t="n">
        <v>1.84</v>
      </c>
      <c r="G240" s="9" t="n">
        <v>0</v>
      </c>
      <c r="H240" s="9" t="n">
        <v>110</v>
      </c>
      <c r="I240" s="11" t="n">
        <v>46212.0006944445</v>
      </c>
      <c r="J240" s="9"/>
      <c r="K240" s="9" t="s">
        <v>90</v>
      </c>
      <c r="L240" s="9" t="n">
        <f aca="false">E240*24/1000</f>
        <v>2.64</v>
      </c>
      <c r="M240" s="10" t="n">
        <f aca="false">G240/L240</f>
        <v>0</v>
      </c>
      <c r="N240" s="9" t="n">
        <f aca="false">G240-F240</f>
        <v>-1.84</v>
      </c>
      <c r="O240" s="10" t="n">
        <f aca="false">IF(F240=0,"",G240/F240)</f>
        <v>0</v>
      </c>
      <c r="P240" s="9" t="n">
        <f aca="false">IF(H240&gt;0,1,0)</f>
        <v>1</v>
      </c>
      <c r="Q240" s="9" t="n">
        <f aca="false">IF(G240=0,1,0)</f>
        <v>1</v>
      </c>
      <c r="R240" s="9" t="str">
        <f aca="false">TEXT(A240,"mmm")</f>
        <v>Jul</v>
      </c>
      <c r="S240" s="9" t="n">
        <f aca="false">WEEKNUM(A240,2)</f>
        <v>28</v>
      </c>
      <c r="T240" s="9" t="str">
        <f aca="false">IF(A240&lt;DATE(2026,6,30),"1-Pre-outage",IF(A240&lt;DATE(2026,7,5),"2-Transition","3-Outage-heavy"))</f>
        <v>3-Outage-heavy</v>
      </c>
      <c r="U240" s="9" t="str">
        <f aca="false">IF(K240="","",IF(ISNUMBER(SEARCH("TURBINE",K240)),"Turbine",IF(ISNUMBER(SEARCH("GENERATOR",K240)),"Generator",IF(ISNUMBER(SEARCH("BOILER",K240)),"Boiler",IF(ISNUMBER(SEARCH("AIR PREHEATER",K240)),"Auxiliary",IF(ISNUMBER(SEARCH("ELECTRICAL",K240)),"Electrical","Other"))))))</f>
        <v>Generator</v>
      </c>
      <c r="V240" s="9" t="n">
        <f aca="false">AVERAGEIFS(G:G,B:B,B240,H:H,0)</f>
        <v>1.61181818181818</v>
      </c>
      <c r="W240" s="9" t="n">
        <f aca="false">IF(P240=1,MAX(0,V240-G240),0)</f>
        <v>1.61181818181818</v>
      </c>
    </row>
    <row r="241" customFormat="false" ht="15" hidden="false" customHeight="false" outlineLevel="0" collapsed="false">
      <c r="A241" s="8" t="n">
        <v>46213</v>
      </c>
      <c r="B241" s="9" t="n">
        <v>2</v>
      </c>
      <c r="C241" s="9" t="str">
        <f aca="false">"Unit "&amp;B241</f>
        <v>Unit 2</v>
      </c>
      <c r="D241" s="9"/>
      <c r="E241" s="9" t="n">
        <v>110</v>
      </c>
      <c r="F241" s="9" t="n">
        <v>1.87</v>
      </c>
      <c r="G241" s="9" t="n">
        <v>1.46</v>
      </c>
      <c r="H241" s="9" t="n">
        <v>0</v>
      </c>
      <c r="I241" s="9"/>
      <c r="J241" s="9"/>
      <c r="K241" s="9"/>
      <c r="L241" s="9" t="n">
        <f aca="false">E241*24/1000</f>
        <v>2.64</v>
      </c>
      <c r="M241" s="10" t="n">
        <f aca="false">G241/L241</f>
        <v>0.553030303030303</v>
      </c>
      <c r="N241" s="9" t="n">
        <f aca="false">G241-F241</f>
        <v>-0.41</v>
      </c>
      <c r="O241" s="10" t="n">
        <f aca="false">IF(F241=0,"",G241/F241)</f>
        <v>0.780748663101604</v>
      </c>
      <c r="P241" s="9" t="n">
        <f aca="false">IF(H241&gt;0,1,0)</f>
        <v>0</v>
      </c>
      <c r="Q241" s="9" t="n">
        <f aca="false">IF(G241=0,1,0)</f>
        <v>0</v>
      </c>
      <c r="R241" s="9" t="str">
        <f aca="false">TEXT(A241,"mmm")</f>
        <v>Jul</v>
      </c>
      <c r="S241" s="9" t="n">
        <f aca="false">WEEKNUM(A241,2)</f>
        <v>28</v>
      </c>
      <c r="T241" s="9" t="str">
        <f aca="false">IF(A241&lt;DATE(2026,6,30),"1-Pre-outage",IF(A241&lt;DATE(2026,7,5),"2-Transition","3-Outage-heavy"))</f>
        <v>3-Outage-heavy</v>
      </c>
      <c r="U241" s="9" t="str">
        <f aca="false">IF(K241="","",IF(ISNUMBER(SEARCH("TURBINE",K241)),"Turbine",IF(ISNUMBER(SEARCH("GENERATOR",K241)),"Generator",IF(ISNUMBER(SEARCH("BOILER",K241)),"Boiler",IF(ISNUMBER(SEARCH("AIR PREHEATER",K241)),"Auxiliary",IF(ISNUMBER(SEARCH("ELECTRICAL",K241)),"Electrical","Other"))))))</f>
        <v/>
      </c>
      <c r="V241" s="9" t="n">
        <f aca="false">AVERAGEIFS(G:G,B:B,B241,H:H,0)</f>
        <v>1.67955555555556</v>
      </c>
      <c r="W241" s="9" t="n">
        <f aca="false">IF(P241=1,MAX(0,V241-G241),0)</f>
        <v>0</v>
      </c>
    </row>
    <row r="242" customFormat="false" ht="15" hidden="false" customHeight="false" outlineLevel="0" collapsed="false">
      <c r="A242" s="8" t="n">
        <v>46213</v>
      </c>
      <c r="B242" s="9" t="n">
        <v>3</v>
      </c>
      <c r="C242" s="9" t="str">
        <f aca="false">"Unit "&amp;B242</f>
        <v>Unit 3</v>
      </c>
      <c r="D242" s="9" t="s">
        <v>79</v>
      </c>
      <c r="E242" s="9" t="n">
        <v>210</v>
      </c>
      <c r="F242" s="9" t="n">
        <v>3.67</v>
      </c>
      <c r="G242" s="9" t="n">
        <v>0.08</v>
      </c>
      <c r="H242" s="9" t="n">
        <v>210</v>
      </c>
      <c r="I242" s="11" t="n">
        <v>46212.36875</v>
      </c>
      <c r="J242" s="11" t="n">
        <v>46213.7534722222</v>
      </c>
      <c r="K242" s="9" t="s">
        <v>90</v>
      </c>
      <c r="L242" s="9" t="n">
        <f aca="false">E242*24/1000</f>
        <v>5.04</v>
      </c>
      <c r="M242" s="10" t="n">
        <f aca="false">G242/L242</f>
        <v>0.0158730158730159</v>
      </c>
      <c r="N242" s="9" t="n">
        <f aca="false">G242-F242</f>
        <v>-3.59</v>
      </c>
      <c r="O242" s="10" t="n">
        <f aca="false">IF(F242=0,"",G242/F242)</f>
        <v>0.0217983651226158</v>
      </c>
      <c r="P242" s="9" t="n">
        <f aca="false">IF(H242&gt;0,1,0)</f>
        <v>1</v>
      </c>
      <c r="Q242" s="9" t="n">
        <f aca="false">IF(G242=0,1,0)</f>
        <v>0</v>
      </c>
      <c r="R242" s="9" t="str">
        <f aca="false">TEXT(A242,"mmm")</f>
        <v>Jul</v>
      </c>
      <c r="S242" s="9" t="n">
        <f aca="false">WEEKNUM(A242,2)</f>
        <v>28</v>
      </c>
      <c r="T242" s="9" t="str">
        <f aca="false">IF(A242&lt;DATE(2026,6,30),"1-Pre-outage",IF(A242&lt;DATE(2026,7,5),"2-Transition","3-Outage-heavy"))</f>
        <v>3-Outage-heavy</v>
      </c>
      <c r="U242" s="9" t="str">
        <f aca="false">IF(K242="","",IF(ISNUMBER(SEARCH("TURBINE",K242)),"Turbine",IF(ISNUMBER(SEARCH("GENERATOR",K242)),"Generator",IF(ISNUMBER(SEARCH("BOILER",K242)),"Boiler",IF(ISNUMBER(SEARCH("AIR PREHEATER",K242)),"Auxiliary",IF(ISNUMBER(SEARCH("ELECTRICAL",K242)),"Electrical","Other"))))))</f>
        <v>Generator</v>
      </c>
      <c r="V242" s="9" t="n">
        <f aca="false">AVERAGEIFS(G:G,B:B,B242,H:H,0)</f>
        <v>3.72697674418605</v>
      </c>
      <c r="W242" s="9" t="n">
        <f aca="false">IF(P242=1,MAX(0,V242-G242),0)</f>
        <v>3.64697674418605</v>
      </c>
    </row>
    <row r="243" customFormat="false" ht="15" hidden="false" customHeight="false" outlineLevel="0" collapsed="false">
      <c r="A243" s="8" t="n">
        <v>46213</v>
      </c>
      <c r="B243" s="9" t="n">
        <v>4</v>
      </c>
      <c r="C243" s="9" t="str">
        <f aca="false">"Unit "&amp;B243</f>
        <v>Unit 4</v>
      </c>
      <c r="D243" s="9" t="s">
        <v>76</v>
      </c>
      <c r="E243" s="9" t="n">
        <v>210</v>
      </c>
      <c r="F243" s="9" t="n">
        <v>0</v>
      </c>
      <c r="G243" s="9" t="n">
        <v>0</v>
      </c>
      <c r="H243" s="9" t="n">
        <v>210</v>
      </c>
      <c r="I243" s="11" t="n">
        <v>46208</v>
      </c>
      <c r="J243" s="9"/>
      <c r="K243" s="9" t="s">
        <v>84</v>
      </c>
      <c r="L243" s="9" t="n">
        <f aca="false">E243*24/1000</f>
        <v>5.04</v>
      </c>
      <c r="M243" s="10" t="n">
        <f aca="false">G243/L243</f>
        <v>0</v>
      </c>
      <c r="N243" s="9" t="n">
        <f aca="false">G243-F243</f>
        <v>0</v>
      </c>
      <c r="O243" s="10" t="str">
        <f aca="false">IF(F243=0,"",G243/F243)</f>
        <v/>
      </c>
      <c r="P243" s="9" t="n">
        <f aca="false">IF(H243&gt;0,1,0)</f>
        <v>1</v>
      </c>
      <c r="Q243" s="9" t="n">
        <f aca="false">IF(G243=0,1,0)</f>
        <v>1</v>
      </c>
      <c r="R243" s="9" t="str">
        <f aca="false">TEXT(A243,"mmm")</f>
        <v>Jul</v>
      </c>
      <c r="S243" s="9" t="n">
        <f aca="false">WEEKNUM(A243,2)</f>
        <v>28</v>
      </c>
      <c r="T243" s="9" t="str">
        <f aca="false">IF(A243&lt;DATE(2026,6,30),"1-Pre-outage",IF(A243&lt;DATE(2026,7,5),"2-Transition","3-Outage-heavy"))</f>
        <v>3-Outage-heavy</v>
      </c>
      <c r="U243" s="9" t="str">
        <f aca="false">IF(K243="","",IF(ISNUMBER(SEARCH("TURBINE",K243)),"Turbine",IF(ISNUMBER(SEARCH("GENERATOR",K243)),"Generator",IF(ISNUMBER(SEARCH("BOILER",K243)),"Boiler",IF(ISNUMBER(SEARCH("AIR PREHEATER",K243)),"Auxiliary",IF(ISNUMBER(SEARCH("ELECTRICAL",K243)),"Electrical","Other"))))))</f>
        <v>Turbine</v>
      </c>
      <c r="V243" s="9" t="n">
        <f aca="false">AVERAGEIFS(G:G,B:B,B243,H:H,0)</f>
        <v>3.53586206896552</v>
      </c>
      <c r="W243" s="9" t="n">
        <f aca="false">IF(P243=1,MAX(0,V243-G243),0)</f>
        <v>3.53586206896552</v>
      </c>
    </row>
    <row r="244" customFormat="false" ht="15" hidden="false" customHeight="false" outlineLevel="0" collapsed="false">
      <c r="A244" s="8" t="n">
        <v>46213</v>
      </c>
      <c r="B244" s="9" t="n">
        <v>5</v>
      </c>
      <c r="C244" s="9" t="str">
        <f aca="false">"Unit "&amp;B244</f>
        <v>Unit 5</v>
      </c>
      <c r="D244" s="9"/>
      <c r="E244" s="9" t="n">
        <v>210</v>
      </c>
      <c r="F244" s="9" t="n">
        <v>3.81</v>
      </c>
      <c r="G244" s="9" t="n">
        <v>3.73</v>
      </c>
      <c r="H244" s="9" t="n">
        <v>0</v>
      </c>
      <c r="I244" s="9"/>
      <c r="J244" s="9"/>
      <c r="K244" s="9"/>
      <c r="L244" s="9" t="n">
        <f aca="false">E244*24/1000</f>
        <v>5.04</v>
      </c>
      <c r="M244" s="10" t="n">
        <f aca="false">G244/L244</f>
        <v>0.740079365079365</v>
      </c>
      <c r="N244" s="9" t="n">
        <f aca="false">G244-F244</f>
        <v>-0.0800000000000001</v>
      </c>
      <c r="O244" s="10" t="n">
        <f aca="false">IF(F244=0,"",G244/F244)</f>
        <v>0.979002624671916</v>
      </c>
      <c r="P244" s="9" t="n">
        <f aca="false">IF(H244&gt;0,1,0)</f>
        <v>0</v>
      </c>
      <c r="Q244" s="9" t="n">
        <f aca="false">IF(G244=0,1,0)</f>
        <v>0</v>
      </c>
      <c r="R244" s="9" t="str">
        <f aca="false">TEXT(A244,"mmm")</f>
        <v>Jul</v>
      </c>
      <c r="S244" s="9" t="n">
        <f aca="false">WEEKNUM(A244,2)</f>
        <v>28</v>
      </c>
      <c r="T244" s="9" t="str">
        <f aca="false">IF(A244&lt;DATE(2026,6,30),"1-Pre-outage",IF(A244&lt;DATE(2026,7,5),"2-Transition","3-Outage-heavy"))</f>
        <v>3-Outage-heavy</v>
      </c>
      <c r="U244" s="9" t="str">
        <f aca="false">IF(K244="","",IF(ISNUMBER(SEARCH("TURBINE",K244)),"Turbine",IF(ISNUMBER(SEARCH("GENERATOR",K244)),"Generator",IF(ISNUMBER(SEARCH("BOILER",K244)),"Boiler",IF(ISNUMBER(SEARCH("AIR PREHEATER",K244)),"Auxiliary",IF(ISNUMBER(SEARCH("ELECTRICAL",K244)),"Electrical","Other"))))))</f>
        <v/>
      </c>
      <c r="V244" s="9" t="n">
        <f aca="false">AVERAGEIFS(G:G,B:B,B244,H:H,0)</f>
        <v>3.98888888888889</v>
      </c>
      <c r="W244" s="9" t="n">
        <f aca="false">IF(P244=1,MAX(0,V244-G244),0)</f>
        <v>0</v>
      </c>
    </row>
    <row r="245" customFormat="false" ht="15" hidden="false" customHeight="false" outlineLevel="0" collapsed="false">
      <c r="A245" s="8" t="n">
        <v>46213</v>
      </c>
      <c r="B245" s="9" t="n">
        <v>6</v>
      </c>
      <c r="C245" s="9" t="str">
        <f aca="false">"Unit "&amp;B245</f>
        <v>Unit 6</v>
      </c>
      <c r="D245" s="9"/>
      <c r="E245" s="9" t="n">
        <v>195</v>
      </c>
      <c r="F245" s="9" t="n">
        <v>3.84</v>
      </c>
      <c r="G245" s="9" t="n">
        <v>3.85</v>
      </c>
      <c r="H245" s="9" t="n">
        <v>0</v>
      </c>
      <c r="I245" s="9"/>
      <c r="J245" s="9"/>
      <c r="K245" s="9"/>
      <c r="L245" s="9" t="n">
        <f aca="false">E245*24/1000</f>
        <v>4.68</v>
      </c>
      <c r="M245" s="10" t="n">
        <f aca="false">G245/L245</f>
        <v>0.822649572649573</v>
      </c>
      <c r="N245" s="9" t="n">
        <f aca="false">G245-F245</f>
        <v>0.0100000000000002</v>
      </c>
      <c r="O245" s="10" t="n">
        <f aca="false">IF(F245=0,"",G245/F245)</f>
        <v>1.00260416666667</v>
      </c>
      <c r="P245" s="9" t="n">
        <f aca="false">IF(H245&gt;0,1,0)</f>
        <v>0</v>
      </c>
      <c r="Q245" s="9" t="n">
        <f aca="false">IF(G245=0,1,0)</f>
        <v>0</v>
      </c>
      <c r="R245" s="9" t="str">
        <f aca="false">TEXT(A245,"mmm")</f>
        <v>Jul</v>
      </c>
      <c r="S245" s="9" t="n">
        <f aca="false">WEEKNUM(A245,2)</f>
        <v>28</v>
      </c>
      <c r="T245" s="9" t="str">
        <f aca="false">IF(A245&lt;DATE(2026,6,30),"1-Pre-outage",IF(A245&lt;DATE(2026,7,5),"2-Transition","3-Outage-heavy"))</f>
        <v>3-Outage-heavy</v>
      </c>
      <c r="U245" s="9" t="str">
        <f aca="false">IF(K245="","",IF(ISNUMBER(SEARCH("TURBINE",K245)),"Turbine",IF(ISNUMBER(SEARCH("GENERATOR",K245)),"Generator",IF(ISNUMBER(SEARCH("BOILER",K245)),"Boiler",IF(ISNUMBER(SEARCH("AIR PREHEATER",K245)),"Auxiliary",IF(ISNUMBER(SEARCH("ELECTRICAL",K245)),"Electrical","Other"))))))</f>
        <v/>
      </c>
      <c r="V245" s="9" t="n">
        <f aca="false">AVERAGEIFS(G:G,B:B,B245,H:H,0)</f>
        <v>3.85377777777778</v>
      </c>
      <c r="W245" s="9" t="n">
        <f aca="false">IF(P245=1,MAX(0,V245-G245),0)</f>
        <v>0</v>
      </c>
    </row>
    <row r="246" customFormat="false" ht="15" hidden="false" customHeight="false" outlineLevel="0" collapsed="false">
      <c r="A246" s="8" t="n">
        <v>46213</v>
      </c>
      <c r="B246" s="9" t="n">
        <v>7</v>
      </c>
      <c r="C246" s="9" t="str">
        <f aca="false">"Unit "&amp;B246</f>
        <v>Unit 7</v>
      </c>
      <c r="D246" s="9"/>
      <c r="E246" s="9" t="n">
        <v>195</v>
      </c>
      <c r="F246" s="9" t="n">
        <v>0</v>
      </c>
      <c r="G246" s="9" t="n">
        <v>3.78</v>
      </c>
      <c r="H246" s="9" t="n">
        <v>0</v>
      </c>
      <c r="I246" s="9"/>
      <c r="J246" s="9"/>
      <c r="K246" s="9"/>
      <c r="L246" s="9" t="n">
        <f aca="false">E246*24/1000</f>
        <v>4.68</v>
      </c>
      <c r="M246" s="10" t="n">
        <f aca="false">G246/L246</f>
        <v>0.807692307692308</v>
      </c>
      <c r="N246" s="9" t="n">
        <f aca="false">G246-F246</f>
        <v>3.78</v>
      </c>
      <c r="O246" s="10" t="str">
        <f aca="false">IF(F246=0,"",G246/F246)</f>
        <v/>
      </c>
      <c r="P246" s="9" t="n">
        <f aca="false">IF(H246&gt;0,1,0)</f>
        <v>0</v>
      </c>
      <c r="Q246" s="9" t="n">
        <f aca="false">IF(G246=0,1,0)</f>
        <v>0</v>
      </c>
      <c r="R246" s="9" t="str">
        <f aca="false">TEXT(A246,"mmm")</f>
        <v>Jul</v>
      </c>
      <c r="S246" s="9" t="n">
        <f aca="false">WEEKNUM(A246,2)</f>
        <v>28</v>
      </c>
      <c r="T246" s="9" t="str">
        <f aca="false">IF(A246&lt;DATE(2026,6,30),"1-Pre-outage",IF(A246&lt;DATE(2026,7,5),"2-Transition","3-Outage-heavy"))</f>
        <v>3-Outage-heavy</v>
      </c>
      <c r="U246" s="9" t="str">
        <f aca="false">IF(K246="","",IF(ISNUMBER(SEARCH("TURBINE",K246)),"Turbine",IF(ISNUMBER(SEARCH("GENERATOR",K246)),"Generator",IF(ISNUMBER(SEARCH("BOILER",K246)),"Boiler",IF(ISNUMBER(SEARCH("AIR PREHEATER",K246)),"Auxiliary",IF(ISNUMBER(SEARCH("ELECTRICAL",K246)),"Electrical","Other"))))))</f>
        <v/>
      </c>
      <c r="V246" s="9" t="n">
        <f aca="false">AVERAGEIFS(G:G,B:B,B246,H:H,0)</f>
        <v>3.98375</v>
      </c>
      <c r="W246" s="9" t="n">
        <f aca="false">IF(P246=1,MAX(0,V246-G246),0)</f>
        <v>0</v>
      </c>
    </row>
    <row r="247" customFormat="false" ht="15" hidden="false" customHeight="false" outlineLevel="0" collapsed="false">
      <c r="A247" s="8" t="n">
        <v>46214</v>
      </c>
      <c r="B247" s="9" t="n">
        <v>1</v>
      </c>
      <c r="C247" s="9" t="str">
        <f aca="false">"Unit "&amp;B247</f>
        <v>Unit 1</v>
      </c>
      <c r="D247" s="9" t="s">
        <v>76</v>
      </c>
      <c r="E247" s="9" t="n">
        <v>110</v>
      </c>
      <c r="F247" s="9" t="n">
        <v>1.84</v>
      </c>
      <c r="G247" s="9" t="n">
        <v>0</v>
      </c>
      <c r="H247" s="9" t="n">
        <v>110</v>
      </c>
      <c r="I247" s="11" t="n">
        <v>46212.0006944445</v>
      </c>
      <c r="J247" s="9"/>
      <c r="K247" s="9" t="s">
        <v>90</v>
      </c>
      <c r="L247" s="9" t="n">
        <f aca="false">E247*24/1000</f>
        <v>2.64</v>
      </c>
      <c r="M247" s="10" t="n">
        <f aca="false">G247/L247</f>
        <v>0</v>
      </c>
      <c r="N247" s="9" t="n">
        <f aca="false">G247-F247</f>
        <v>-1.84</v>
      </c>
      <c r="O247" s="10" t="n">
        <f aca="false">IF(F247=0,"",G247/F247)</f>
        <v>0</v>
      </c>
      <c r="P247" s="9" t="n">
        <f aca="false">IF(H247&gt;0,1,0)</f>
        <v>1</v>
      </c>
      <c r="Q247" s="9" t="n">
        <f aca="false">IF(G247=0,1,0)</f>
        <v>1</v>
      </c>
      <c r="R247" s="9" t="str">
        <f aca="false">TEXT(A247,"mmm")</f>
        <v>Jul</v>
      </c>
      <c r="S247" s="9" t="n">
        <f aca="false">WEEKNUM(A247,2)</f>
        <v>28</v>
      </c>
      <c r="T247" s="9" t="str">
        <f aca="false">IF(A247&lt;DATE(2026,6,30),"1-Pre-outage",IF(A247&lt;DATE(2026,7,5),"2-Transition","3-Outage-heavy"))</f>
        <v>3-Outage-heavy</v>
      </c>
      <c r="U247" s="9" t="str">
        <f aca="false">IF(K247="","",IF(ISNUMBER(SEARCH("TURBINE",K247)),"Turbine",IF(ISNUMBER(SEARCH("GENERATOR",K247)),"Generator",IF(ISNUMBER(SEARCH("BOILER",K247)),"Boiler",IF(ISNUMBER(SEARCH("AIR PREHEATER",K247)),"Auxiliary",IF(ISNUMBER(SEARCH("ELECTRICAL",K247)),"Electrical","Other"))))))</f>
        <v>Generator</v>
      </c>
      <c r="V247" s="9" t="n">
        <f aca="false">AVERAGEIFS(G:G,B:B,B247,H:H,0)</f>
        <v>1.61181818181818</v>
      </c>
      <c r="W247" s="9" t="n">
        <f aca="false">IF(P247=1,MAX(0,V247-G247),0)</f>
        <v>1.61181818181818</v>
      </c>
    </row>
    <row r="248" customFormat="false" ht="15" hidden="false" customHeight="false" outlineLevel="0" collapsed="false">
      <c r="A248" s="8" t="n">
        <v>46214</v>
      </c>
      <c r="B248" s="9" t="n">
        <v>2</v>
      </c>
      <c r="C248" s="9" t="str">
        <f aca="false">"Unit "&amp;B248</f>
        <v>Unit 2</v>
      </c>
      <c r="D248" s="9"/>
      <c r="E248" s="9" t="n">
        <v>110</v>
      </c>
      <c r="F248" s="9" t="n">
        <v>1.87</v>
      </c>
      <c r="G248" s="9" t="n">
        <v>1.52</v>
      </c>
      <c r="H248" s="9" t="n">
        <v>0</v>
      </c>
      <c r="I248" s="9"/>
      <c r="J248" s="9"/>
      <c r="K248" s="9"/>
      <c r="L248" s="9" t="n">
        <f aca="false">E248*24/1000</f>
        <v>2.64</v>
      </c>
      <c r="M248" s="10" t="n">
        <f aca="false">G248/L248</f>
        <v>0.575757575757576</v>
      </c>
      <c r="N248" s="9" t="n">
        <f aca="false">G248-F248</f>
        <v>-0.35</v>
      </c>
      <c r="O248" s="10" t="n">
        <f aca="false">IF(F248=0,"",G248/F248)</f>
        <v>0.81283422459893</v>
      </c>
      <c r="P248" s="9" t="n">
        <f aca="false">IF(H248&gt;0,1,0)</f>
        <v>0</v>
      </c>
      <c r="Q248" s="9" t="n">
        <f aca="false">IF(G248=0,1,0)</f>
        <v>0</v>
      </c>
      <c r="R248" s="9" t="str">
        <f aca="false">TEXT(A248,"mmm")</f>
        <v>Jul</v>
      </c>
      <c r="S248" s="9" t="n">
        <f aca="false">WEEKNUM(A248,2)</f>
        <v>28</v>
      </c>
      <c r="T248" s="9" t="str">
        <f aca="false">IF(A248&lt;DATE(2026,6,30),"1-Pre-outage",IF(A248&lt;DATE(2026,7,5),"2-Transition","3-Outage-heavy"))</f>
        <v>3-Outage-heavy</v>
      </c>
      <c r="U248" s="9" t="str">
        <f aca="false">IF(K248="","",IF(ISNUMBER(SEARCH("TURBINE",K248)),"Turbine",IF(ISNUMBER(SEARCH("GENERATOR",K248)),"Generator",IF(ISNUMBER(SEARCH("BOILER",K248)),"Boiler",IF(ISNUMBER(SEARCH("AIR PREHEATER",K248)),"Auxiliary",IF(ISNUMBER(SEARCH("ELECTRICAL",K248)),"Electrical","Other"))))))</f>
        <v/>
      </c>
      <c r="V248" s="9" t="n">
        <f aca="false">AVERAGEIFS(G:G,B:B,B248,H:H,0)</f>
        <v>1.67955555555556</v>
      </c>
      <c r="W248" s="9" t="n">
        <f aca="false">IF(P248=1,MAX(0,V248-G248),0)</f>
        <v>0</v>
      </c>
    </row>
    <row r="249" customFormat="false" ht="15" hidden="false" customHeight="false" outlineLevel="0" collapsed="false">
      <c r="A249" s="8" t="n">
        <v>46214</v>
      </c>
      <c r="B249" s="9" t="n">
        <v>3</v>
      </c>
      <c r="C249" s="9" t="str">
        <f aca="false">"Unit "&amp;B249</f>
        <v>Unit 3</v>
      </c>
      <c r="D249" s="9"/>
      <c r="E249" s="9" t="n">
        <v>210</v>
      </c>
      <c r="F249" s="9" t="n">
        <v>3.67</v>
      </c>
      <c r="G249" s="9" t="n">
        <v>3.39</v>
      </c>
      <c r="H249" s="9" t="n">
        <v>0</v>
      </c>
      <c r="I249" s="9"/>
      <c r="J249" s="9"/>
      <c r="K249" s="9"/>
      <c r="L249" s="9" t="n">
        <f aca="false">E249*24/1000</f>
        <v>5.04</v>
      </c>
      <c r="M249" s="10" t="n">
        <f aca="false">G249/L249</f>
        <v>0.672619047619048</v>
      </c>
      <c r="N249" s="9" t="n">
        <f aca="false">G249-F249</f>
        <v>-0.28</v>
      </c>
      <c r="O249" s="10" t="n">
        <f aca="false">IF(F249=0,"",G249/F249)</f>
        <v>0.923705722070845</v>
      </c>
      <c r="P249" s="9" t="n">
        <f aca="false">IF(H249&gt;0,1,0)</f>
        <v>0</v>
      </c>
      <c r="Q249" s="9" t="n">
        <f aca="false">IF(G249=0,1,0)</f>
        <v>0</v>
      </c>
      <c r="R249" s="9" t="str">
        <f aca="false">TEXT(A249,"mmm")</f>
        <v>Jul</v>
      </c>
      <c r="S249" s="9" t="n">
        <f aca="false">WEEKNUM(A249,2)</f>
        <v>28</v>
      </c>
      <c r="T249" s="9" t="str">
        <f aca="false">IF(A249&lt;DATE(2026,6,30),"1-Pre-outage",IF(A249&lt;DATE(2026,7,5),"2-Transition","3-Outage-heavy"))</f>
        <v>3-Outage-heavy</v>
      </c>
      <c r="U249" s="9" t="str">
        <f aca="false">IF(K249="","",IF(ISNUMBER(SEARCH("TURBINE",K249)),"Turbine",IF(ISNUMBER(SEARCH("GENERATOR",K249)),"Generator",IF(ISNUMBER(SEARCH("BOILER",K249)),"Boiler",IF(ISNUMBER(SEARCH("AIR PREHEATER",K249)),"Auxiliary",IF(ISNUMBER(SEARCH("ELECTRICAL",K249)),"Electrical","Other"))))))</f>
        <v/>
      </c>
      <c r="V249" s="9" t="n">
        <f aca="false">AVERAGEIFS(G:G,B:B,B249,H:H,0)</f>
        <v>3.72697674418605</v>
      </c>
      <c r="W249" s="9" t="n">
        <f aca="false">IF(P249=1,MAX(0,V249-G249),0)</f>
        <v>0</v>
      </c>
    </row>
    <row r="250" customFormat="false" ht="15" hidden="false" customHeight="false" outlineLevel="0" collapsed="false">
      <c r="A250" s="8" t="n">
        <v>46214</v>
      </c>
      <c r="B250" s="9" t="n">
        <v>4</v>
      </c>
      <c r="C250" s="9" t="str">
        <f aca="false">"Unit "&amp;B250</f>
        <v>Unit 4</v>
      </c>
      <c r="D250" s="9" t="s">
        <v>76</v>
      </c>
      <c r="E250" s="9" t="n">
        <v>210</v>
      </c>
      <c r="F250" s="9" t="n">
        <v>0</v>
      </c>
      <c r="G250" s="9" t="n">
        <v>0</v>
      </c>
      <c r="H250" s="9" t="n">
        <v>210</v>
      </c>
      <c r="I250" s="11" t="n">
        <v>46208</v>
      </c>
      <c r="J250" s="9"/>
      <c r="K250" s="9" t="s">
        <v>84</v>
      </c>
      <c r="L250" s="9" t="n">
        <f aca="false">E250*24/1000</f>
        <v>5.04</v>
      </c>
      <c r="M250" s="10" t="n">
        <f aca="false">G250/L250</f>
        <v>0</v>
      </c>
      <c r="N250" s="9" t="n">
        <f aca="false">G250-F250</f>
        <v>0</v>
      </c>
      <c r="O250" s="10" t="str">
        <f aca="false">IF(F250=0,"",G250/F250)</f>
        <v/>
      </c>
      <c r="P250" s="9" t="n">
        <f aca="false">IF(H250&gt;0,1,0)</f>
        <v>1</v>
      </c>
      <c r="Q250" s="9" t="n">
        <f aca="false">IF(G250=0,1,0)</f>
        <v>1</v>
      </c>
      <c r="R250" s="9" t="str">
        <f aca="false">TEXT(A250,"mmm")</f>
        <v>Jul</v>
      </c>
      <c r="S250" s="9" t="n">
        <f aca="false">WEEKNUM(A250,2)</f>
        <v>28</v>
      </c>
      <c r="T250" s="9" t="str">
        <f aca="false">IF(A250&lt;DATE(2026,6,30),"1-Pre-outage",IF(A250&lt;DATE(2026,7,5),"2-Transition","3-Outage-heavy"))</f>
        <v>3-Outage-heavy</v>
      </c>
      <c r="U250" s="9" t="str">
        <f aca="false">IF(K250="","",IF(ISNUMBER(SEARCH("TURBINE",K250)),"Turbine",IF(ISNUMBER(SEARCH("GENERATOR",K250)),"Generator",IF(ISNUMBER(SEARCH("BOILER",K250)),"Boiler",IF(ISNUMBER(SEARCH("AIR PREHEATER",K250)),"Auxiliary",IF(ISNUMBER(SEARCH("ELECTRICAL",K250)),"Electrical","Other"))))))</f>
        <v>Turbine</v>
      </c>
      <c r="V250" s="9" t="n">
        <f aca="false">AVERAGEIFS(G:G,B:B,B250,H:H,0)</f>
        <v>3.53586206896552</v>
      </c>
      <c r="W250" s="9" t="n">
        <f aca="false">IF(P250=1,MAX(0,V250-G250),0)</f>
        <v>3.53586206896552</v>
      </c>
    </row>
    <row r="251" customFormat="false" ht="15" hidden="false" customHeight="false" outlineLevel="0" collapsed="false">
      <c r="A251" s="8" t="n">
        <v>46214</v>
      </c>
      <c r="B251" s="9" t="n">
        <v>5</v>
      </c>
      <c r="C251" s="9" t="str">
        <f aca="false">"Unit "&amp;B251</f>
        <v>Unit 5</v>
      </c>
      <c r="D251" s="9"/>
      <c r="E251" s="9" t="n">
        <v>210</v>
      </c>
      <c r="F251" s="9" t="n">
        <v>3.81</v>
      </c>
      <c r="G251" s="9" t="n">
        <v>3.81</v>
      </c>
      <c r="H251" s="9" t="n">
        <v>0</v>
      </c>
      <c r="I251" s="9"/>
      <c r="J251" s="9"/>
      <c r="K251" s="9"/>
      <c r="L251" s="9" t="n">
        <f aca="false">E251*24/1000</f>
        <v>5.04</v>
      </c>
      <c r="M251" s="10" t="n">
        <f aca="false">G251/L251</f>
        <v>0.755952380952381</v>
      </c>
      <c r="N251" s="9" t="n">
        <f aca="false">G251-F251</f>
        <v>0</v>
      </c>
      <c r="O251" s="10" t="n">
        <f aca="false">IF(F251=0,"",G251/F251)</f>
        <v>1</v>
      </c>
      <c r="P251" s="9" t="n">
        <f aca="false">IF(H251&gt;0,1,0)</f>
        <v>0</v>
      </c>
      <c r="Q251" s="9" t="n">
        <f aca="false">IF(G251=0,1,0)</f>
        <v>0</v>
      </c>
      <c r="R251" s="9" t="str">
        <f aca="false">TEXT(A251,"mmm")</f>
        <v>Jul</v>
      </c>
      <c r="S251" s="9" t="n">
        <f aca="false">WEEKNUM(A251,2)</f>
        <v>28</v>
      </c>
      <c r="T251" s="9" t="str">
        <f aca="false">IF(A251&lt;DATE(2026,6,30),"1-Pre-outage",IF(A251&lt;DATE(2026,7,5),"2-Transition","3-Outage-heavy"))</f>
        <v>3-Outage-heavy</v>
      </c>
      <c r="U251" s="9" t="str">
        <f aca="false">IF(K251="","",IF(ISNUMBER(SEARCH("TURBINE",K251)),"Turbine",IF(ISNUMBER(SEARCH("GENERATOR",K251)),"Generator",IF(ISNUMBER(SEARCH("BOILER",K251)),"Boiler",IF(ISNUMBER(SEARCH("AIR PREHEATER",K251)),"Auxiliary",IF(ISNUMBER(SEARCH("ELECTRICAL",K251)),"Electrical","Other"))))))</f>
        <v/>
      </c>
      <c r="V251" s="9" t="n">
        <f aca="false">AVERAGEIFS(G:G,B:B,B251,H:H,0)</f>
        <v>3.98888888888889</v>
      </c>
      <c r="W251" s="9" t="n">
        <f aca="false">IF(P251=1,MAX(0,V251-G251),0)</f>
        <v>0</v>
      </c>
    </row>
    <row r="252" customFormat="false" ht="15" hidden="false" customHeight="false" outlineLevel="0" collapsed="false">
      <c r="A252" s="8" t="n">
        <v>46214</v>
      </c>
      <c r="B252" s="9" t="n">
        <v>6</v>
      </c>
      <c r="C252" s="9" t="str">
        <f aca="false">"Unit "&amp;B252</f>
        <v>Unit 6</v>
      </c>
      <c r="D252" s="9"/>
      <c r="E252" s="9" t="n">
        <v>195</v>
      </c>
      <c r="F252" s="9" t="n">
        <v>3.84</v>
      </c>
      <c r="G252" s="9" t="n">
        <v>3.83</v>
      </c>
      <c r="H252" s="9" t="n">
        <v>0</v>
      </c>
      <c r="I252" s="9"/>
      <c r="J252" s="9"/>
      <c r="K252" s="9"/>
      <c r="L252" s="9" t="n">
        <f aca="false">E252*24/1000</f>
        <v>4.68</v>
      </c>
      <c r="M252" s="10" t="n">
        <f aca="false">G252/L252</f>
        <v>0.818376068376069</v>
      </c>
      <c r="N252" s="9" t="n">
        <f aca="false">G252-F252</f>
        <v>-0.00999999999999979</v>
      </c>
      <c r="O252" s="10" t="n">
        <f aca="false">IF(F252=0,"",G252/F252)</f>
        <v>0.997395833333333</v>
      </c>
      <c r="P252" s="9" t="n">
        <f aca="false">IF(H252&gt;0,1,0)</f>
        <v>0</v>
      </c>
      <c r="Q252" s="9" t="n">
        <f aca="false">IF(G252=0,1,0)</f>
        <v>0</v>
      </c>
      <c r="R252" s="9" t="str">
        <f aca="false">TEXT(A252,"mmm")</f>
        <v>Jul</v>
      </c>
      <c r="S252" s="9" t="n">
        <f aca="false">WEEKNUM(A252,2)</f>
        <v>28</v>
      </c>
      <c r="T252" s="9" t="str">
        <f aca="false">IF(A252&lt;DATE(2026,6,30),"1-Pre-outage",IF(A252&lt;DATE(2026,7,5),"2-Transition","3-Outage-heavy"))</f>
        <v>3-Outage-heavy</v>
      </c>
      <c r="U252" s="9" t="str">
        <f aca="false">IF(K252="","",IF(ISNUMBER(SEARCH("TURBINE",K252)),"Turbine",IF(ISNUMBER(SEARCH("GENERATOR",K252)),"Generator",IF(ISNUMBER(SEARCH("BOILER",K252)),"Boiler",IF(ISNUMBER(SEARCH("AIR PREHEATER",K252)),"Auxiliary",IF(ISNUMBER(SEARCH("ELECTRICAL",K252)),"Electrical","Other"))))))</f>
        <v/>
      </c>
      <c r="V252" s="9" t="n">
        <f aca="false">AVERAGEIFS(G:G,B:B,B252,H:H,0)</f>
        <v>3.85377777777778</v>
      </c>
      <c r="W252" s="9" t="n">
        <f aca="false">IF(P252=1,MAX(0,V252-G252),0)</f>
        <v>0</v>
      </c>
    </row>
    <row r="253" customFormat="false" ht="15" hidden="false" customHeight="false" outlineLevel="0" collapsed="false">
      <c r="A253" s="8" t="n">
        <v>46214</v>
      </c>
      <c r="B253" s="9" t="n">
        <v>7</v>
      </c>
      <c r="C253" s="9" t="str">
        <f aca="false">"Unit "&amp;B253</f>
        <v>Unit 7</v>
      </c>
      <c r="D253" s="9"/>
      <c r="E253" s="9" t="n">
        <v>195</v>
      </c>
      <c r="F253" s="9" t="n">
        <v>0</v>
      </c>
      <c r="G253" s="9" t="n">
        <v>3.88</v>
      </c>
      <c r="H253" s="9" t="n">
        <v>0</v>
      </c>
      <c r="I253" s="9"/>
      <c r="J253" s="9"/>
      <c r="K253" s="9"/>
      <c r="L253" s="9" t="n">
        <f aca="false">E253*24/1000</f>
        <v>4.68</v>
      </c>
      <c r="M253" s="10" t="n">
        <f aca="false">G253/L253</f>
        <v>0.829059829059829</v>
      </c>
      <c r="N253" s="9" t="n">
        <f aca="false">G253-F253</f>
        <v>3.88</v>
      </c>
      <c r="O253" s="10" t="str">
        <f aca="false">IF(F253=0,"",G253/F253)</f>
        <v/>
      </c>
      <c r="P253" s="9" t="n">
        <f aca="false">IF(H253&gt;0,1,0)</f>
        <v>0</v>
      </c>
      <c r="Q253" s="9" t="n">
        <f aca="false">IF(G253=0,1,0)</f>
        <v>0</v>
      </c>
      <c r="R253" s="9" t="str">
        <f aca="false">TEXT(A253,"mmm")</f>
        <v>Jul</v>
      </c>
      <c r="S253" s="9" t="n">
        <f aca="false">WEEKNUM(A253,2)</f>
        <v>28</v>
      </c>
      <c r="T253" s="9" t="str">
        <f aca="false">IF(A253&lt;DATE(2026,6,30),"1-Pre-outage",IF(A253&lt;DATE(2026,7,5),"2-Transition","3-Outage-heavy"))</f>
        <v>3-Outage-heavy</v>
      </c>
      <c r="U253" s="9" t="str">
        <f aca="false">IF(K253="","",IF(ISNUMBER(SEARCH("TURBINE",K253)),"Turbine",IF(ISNUMBER(SEARCH("GENERATOR",K253)),"Generator",IF(ISNUMBER(SEARCH("BOILER",K253)),"Boiler",IF(ISNUMBER(SEARCH("AIR PREHEATER",K253)),"Auxiliary",IF(ISNUMBER(SEARCH("ELECTRICAL",K253)),"Electrical","Other"))))))</f>
        <v/>
      </c>
      <c r="V253" s="9" t="n">
        <f aca="false">AVERAGEIFS(G:G,B:B,B253,H:H,0)</f>
        <v>3.98375</v>
      </c>
      <c r="W253" s="9" t="n">
        <f aca="false">IF(P253=1,MAX(0,V253-G253),0)</f>
        <v>0</v>
      </c>
    </row>
    <row r="254" customFormat="false" ht="15" hidden="false" customHeight="false" outlineLevel="0" collapsed="false">
      <c r="A254" s="8" t="n">
        <v>46215</v>
      </c>
      <c r="B254" s="9" t="n">
        <v>1</v>
      </c>
      <c r="C254" s="9" t="str">
        <f aca="false">"Unit "&amp;B254</f>
        <v>Unit 1</v>
      </c>
      <c r="D254" s="9" t="s">
        <v>76</v>
      </c>
      <c r="E254" s="9" t="n">
        <v>110</v>
      </c>
      <c r="F254" s="9" t="n">
        <v>1.84</v>
      </c>
      <c r="G254" s="9" t="n">
        <v>0</v>
      </c>
      <c r="H254" s="9" t="n">
        <v>110</v>
      </c>
      <c r="I254" s="11" t="n">
        <v>46212.0006944445</v>
      </c>
      <c r="J254" s="9"/>
      <c r="K254" s="9" t="s">
        <v>90</v>
      </c>
      <c r="L254" s="9" t="n">
        <f aca="false">E254*24/1000</f>
        <v>2.64</v>
      </c>
      <c r="M254" s="10" t="n">
        <f aca="false">G254/L254</f>
        <v>0</v>
      </c>
      <c r="N254" s="9" t="n">
        <f aca="false">G254-F254</f>
        <v>-1.84</v>
      </c>
      <c r="O254" s="10" t="n">
        <f aca="false">IF(F254=0,"",G254/F254)</f>
        <v>0</v>
      </c>
      <c r="P254" s="9" t="n">
        <f aca="false">IF(H254&gt;0,1,0)</f>
        <v>1</v>
      </c>
      <c r="Q254" s="9" t="n">
        <f aca="false">IF(G254=0,1,0)</f>
        <v>1</v>
      </c>
      <c r="R254" s="9" t="str">
        <f aca="false">TEXT(A254,"mmm")</f>
        <v>Jul</v>
      </c>
      <c r="S254" s="9" t="n">
        <f aca="false">WEEKNUM(A254,2)</f>
        <v>28</v>
      </c>
      <c r="T254" s="9" t="str">
        <f aca="false">IF(A254&lt;DATE(2026,6,30),"1-Pre-outage",IF(A254&lt;DATE(2026,7,5),"2-Transition","3-Outage-heavy"))</f>
        <v>3-Outage-heavy</v>
      </c>
      <c r="U254" s="9" t="str">
        <f aca="false">IF(K254="","",IF(ISNUMBER(SEARCH("TURBINE",K254)),"Turbine",IF(ISNUMBER(SEARCH("GENERATOR",K254)),"Generator",IF(ISNUMBER(SEARCH("BOILER",K254)),"Boiler",IF(ISNUMBER(SEARCH("AIR PREHEATER",K254)),"Auxiliary",IF(ISNUMBER(SEARCH("ELECTRICAL",K254)),"Electrical","Other"))))))</f>
        <v>Generator</v>
      </c>
      <c r="V254" s="9" t="n">
        <f aca="false">AVERAGEIFS(G:G,B:B,B254,H:H,0)</f>
        <v>1.61181818181818</v>
      </c>
      <c r="W254" s="9" t="n">
        <f aca="false">IF(P254=1,MAX(0,V254-G254),0)</f>
        <v>1.61181818181818</v>
      </c>
    </row>
    <row r="255" customFormat="false" ht="15" hidden="false" customHeight="false" outlineLevel="0" collapsed="false">
      <c r="A255" s="8" t="n">
        <v>46215</v>
      </c>
      <c r="B255" s="9" t="n">
        <v>2</v>
      </c>
      <c r="C255" s="9" t="str">
        <f aca="false">"Unit "&amp;B255</f>
        <v>Unit 2</v>
      </c>
      <c r="D255" s="9"/>
      <c r="E255" s="9" t="n">
        <v>110</v>
      </c>
      <c r="F255" s="9" t="n">
        <v>1.87</v>
      </c>
      <c r="G255" s="9" t="n">
        <v>1.53</v>
      </c>
      <c r="H255" s="9" t="n">
        <v>0</v>
      </c>
      <c r="I255" s="9"/>
      <c r="J255" s="9"/>
      <c r="K255" s="9"/>
      <c r="L255" s="9" t="n">
        <f aca="false">E255*24/1000</f>
        <v>2.64</v>
      </c>
      <c r="M255" s="10" t="n">
        <f aca="false">G255/L255</f>
        <v>0.579545454545455</v>
      </c>
      <c r="N255" s="9" t="n">
        <f aca="false">G255-F255</f>
        <v>-0.34</v>
      </c>
      <c r="O255" s="10" t="n">
        <f aca="false">IF(F255=0,"",G255/F255)</f>
        <v>0.818181818181818</v>
      </c>
      <c r="P255" s="9" t="n">
        <f aca="false">IF(H255&gt;0,1,0)</f>
        <v>0</v>
      </c>
      <c r="Q255" s="9" t="n">
        <f aca="false">IF(G255=0,1,0)</f>
        <v>0</v>
      </c>
      <c r="R255" s="9" t="str">
        <f aca="false">TEXT(A255,"mmm")</f>
        <v>Jul</v>
      </c>
      <c r="S255" s="9" t="n">
        <f aca="false">WEEKNUM(A255,2)</f>
        <v>28</v>
      </c>
      <c r="T255" s="9" t="str">
        <f aca="false">IF(A255&lt;DATE(2026,6,30),"1-Pre-outage",IF(A255&lt;DATE(2026,7,5),"2-Transition","3-Outage-heavy"))</f>
        <v>3-Outage-heavy</v>
      </c>
      <c r="U255" s="9" t="str">
        <f aca="false">IF(K255="","",IF(ISNUMBER(SEARCH("TURBINE",K255)),"Turbine",IF(ISNUMBER(SEARCH("GENERATOR",K255)),"Generator",IF(ISNUMBER(SEARCH("BOILER",K255)),"Boiler",IF(ISNUMBER(SEARCH("AIR PREHEATER",K255)),"Auxiliary",IF(ISNUMBER(SEARCH("ELECTRICAL",K255)),"Electrical","Other"))))))</f>
        <v/>
      </c>
      <c r="V255" s="9" t="n">
        <f aca="false">AVERAGEIFS(G:G,B:B,B255,H:H,0)</f>
        <v>1.67955555555556</v>
      </c>
      <c r="W255" s="9" t="n">
        <f aca="false">IF(P255=1,MAX(0,V255-G255),0)</f>
        <v>0</v>
      </c>
    </row>
    <row r="256" customFormat="false" ht="15" hidden="false" customHeight="false" outlineLevel="0" collapsed="false">
      <c r="A256" s="8" t="n">
        <v>46215</v>
      </c>
      <c r="B256" s="9" t="n">
        <v>3</v>
      </c>
      <c r="C256" s="9" t="str">
        <f aca="false">"Unit "&amp;B256</f>
        <v>Unit 3</v>
      </c>
      <c r="D256" s="9"/>
      <c r="E256" s="9" t="n">
        <v>210</v>
      </c>
      <c r="F256" s="9" t="n">
        <v>3.67</v>
      </c>
      <c r="G256" s="9" t="n">
        <v>3.48</v>
      </c>
      <c r="H256" s="9" t="n">
        <v>0</v>
      </c>
      <c r="I256" s="9"/>
      <c r="J256" s="9"/>
      <c r="K256" s="9"/>
      <c r="L256" s="9" t="n">
        <f aca="false">E256*24/1000</f>
        <v>5.04</v>
      </c>
      <c r="M256" s="10" t="n">
        <f aca="false">G256/L256</f>
        <v>0.690476190476191</v>
      </c>
      <c r="N256" s="9" t="n">
        <f aca="false">G256-F256</f>
        <v>-0.19</v>
      </c>
      <c r="O256" s="10" t="n">
        <f aca="false">IF(F256=0,"",G256/F256)</f>
        <v>0.948228882833788</v>
      </c>
      <c r="P256" s="9" t="n">
        <f aca="false">IF(H256&gt;0,1,0)</f>
        <v>0</v>
      </c>
      <c r="Q256" s="9" t="n">
        <f aca="false">IF(G256=0,1,0)</f>
        <v>0</v>
      </c>
      <c r="R256" s="9" t="str">
        <f aca="false">TEXT(A256,"mmm")</f>
        <v>Jul</v>
      </c>
      <c r="S256" s="9" t="n">
        <f aca="false">WEEKNUM(A256,2)</f>
        <v>28</v>
      </c>
      <c r="T256" s="9" t="str">
        <f aca="false">IF(A256&lt;DATE(2026,6,30),"1-Pre-outage",IF(A256&lt;DATE(2026,7,5),"2-Transition","3-Outage-heavy"))</f>
        <v>3-Outage-heavy</v>
      </c>
      <c r="U256" s="9" t="str">
        <f aca="false">IF(K256="","",IF(ISNUMBER(SEARCH("TURBINE",K256)),"Turbine",IF(ISNUMBER(SEARCH("GENERATOR",K256)),"Generator",IF(ISNUMBER(SEARCH("BOILER",K256)),"Boiler",IF(ISNUMBER(SEARCH("AIR PREHEATER",K256)),"Auxiliary",IF(ISNUMBER(SEARCH("ELECTRICAL",K256)),"Electrical","Other"))))))</f>
        <v/>
      </c>
      <c r="V256" s="9" t="n">
        <f aca="false">AVERAGEIFS(G:G,B:B,B256,H:H,0)</f>
        <v>3.72697674418605</v>
      </c>
      <c r="W256" s="9" t="n">
        <f aca="false">IF(P256=1,MAX(0,V256-G256),0)</f>
        <v>0</v>
      </c>
    </row>
    <row r="257" customFormat="false" ht="15" hidden="false" customHeight="false" outlineLevel="0" collapsed="false">
      <c r="A257" s="8" t="n">
        <v>46215</v>
      </c>
      <c r="B257" s="9" t="n">
        <v>4</v>
      </c>
      <c r="C257" s="9" t="str">
        <f aca="false">"Unit "&amp;B257</f>
        <v>Unit 4</v>
      </c>
      <c r="D257" s="9" t="s">
        <v>76</v>
      </c>
      <c r="E257" s="9" t="n">
        <v>210</v>
      </c>
      <c r="F257" s="9" t="n">
        <v>0</v>
      </c>
      <c r="G257" s="9" t="n">
        <v>0</v>
      </c>
      <c r="H257" s="9" t="n">
        <v>210</v>
      </c>
      <c r="I257" s="11" t="n">
        <v>46208</v>
      </c>
      <c r="J257" s="9"/>
      <c r="K257" s="9" t="s">
        <v>84</v>
      </c>
      <c r="L257" s="9" t="n">
        <f aca="false">E257*24/1000</f>
        <v>5.04</v>
      </c>
      <c r="M257" s="10" t="n">
        <f aca="false">G257/L257</f>
        <v>0</v>
      </c>
      <c r="N257" s="9" t="n">
        <f aca="false">G257-F257</f>
        <v>0</v>
      </c>
      <c r="O257" s="10" t="str">
        <f aca="false">IF(F257=0,"",G257/F257)</f>
        <v/>
      </c>
      <c r="P257" s="9" t="n">
        <f aca="false">IF(H257&gt;0,1,0)</f>
        <v>1</v>
      </c>
      <c r="Q257" s="9" t="n">
        <f aca="false">IF(G257=0,1,0)</f>
        <v>1</v>
      </c>
      <c r="R257" s="9" t="str">
        <f aca="false">TEXT(A257,"mmm")</f>
        <v>Jul</v>
      </c>
      <c r="S257" s="9" t="n">
        <f aca="false">WEEKNUM(A257,2)</f>
        <v>28</v>
      </c>
      <c r="T257" s="9" t="str">
        <f aca="false">IF(A257&lt;DATE(2026,6,30),"1-Pre-outage",IF(A257&lt;DATE(2026,7,5),"2-Transition","3-Outage-heavy"))</f>
        <v>3-Outage-heavy</v>
      </c>
      <c r="U257" s="9" t="str">
        <f aca="false">IF(K257="","",IF(ISNUMBER(SEARCH("TURBINE",K257)),"Turbine",IF(ISNUMBER(SEARCH("GENERATOR",K257)),"Generator",IF(ISNUMBER(SEARCH("BOILER",K257)),"Boiler",IF(ISNUMBER(SEARCH("AIR PREHEATER",K257)),"Auxiliary",IF(ISNUMBER(SEARCH("ELECTRICAL",K257)),"Electrical","Other"))))))</f>
        <v>Turbine</v>
      </c>
      <c r="V257" s="9" t="n">
        <f aca="false">AVERAGEIFS(G:G,B:B,B257,H:H,0)</f>
        <v>3.53586206896552</v>
      </c>
      <c r="W257" s="9" t="n">
        <f aca="false">IF(P257=1,MAX(0,V257-G257),0)</f>
        <v>3.53586206896552</v>
      </c>
    </row>
    <row r="258" customFormat="false" ht="15" hidden="false" customHeight="false" outlineLevel="0" collapsed="false">
      <c r="A258" s="8" t="n">
        <v>46215</v>
      </c>
      <c r="B258" s="9" t="n">
        <v>5</v>
      </c>
      <c r="C258" s="9" t="str">
        <f aca="false">"Unit "&amp;B258</f>
        <v>Unit 5</v>
      </c>
      <c r="D258" s="9"/>
      <c r="E258" s="9" t="n">
        <v>210</v>
      </c>
      <c r="F258" s="9" t="n">
        <v>3.81</v>
      </c>
      <c r="G258" s="9" t="n">
        <v>3.78</v>
      </c>
      <c r="H258" s="9" t="n">
        <v>0</v>
      </c>
      <c r="I258" s="9"/>
      <c r="J258" s="9"/>
      <c r="K258" s="9"/>
      <c r="L258" s="9" t="n">
        <f aca="false">E258*24/1000</f>
        <v>5.04</v>
      </c>
      <c r="M258" s="10" t="n">
        <f aca="false">G258/L258</f>
        <v>0.75</v>
      </c>
      <c r="N258" s="9" t="n">
        <f aca="false">G258-F258</f>
        <v>-0.0300000000000003</v>
      </c>
      <c r="O258" s="10" t="n">
        <f aca="false">IF(F258=0,"",G258/F258)</f>
        <v>0.992125984251968</v>
      </c>
      <c r="P258" s="9" t="n">
        <f aca="false">IF(H258&gt;0,1,0)</f>
        <v>0</v>
      </c>
      <c r="Q258" s="9" t="n">
        <f aca="false">IF(G258=0,1,0)</f>
        <v>0</v>
      </c>
      <c r="R258" s="9" t="str">
        <f aca="false">TEXT(A258,"mmm")</f>
        <v>Jul</v>
      </c>
      <c r="S258" s="9" t="n">
        <f aca="false">WEEKNUM(A258,2)</f>
        <v>28</v>
      </c>
      <c r="T258" s="9" t="str">
        <f aca="false">IF(A258&lt;DATE(2026,6,30),"1-Pre-outage",IF(A258&lt;DATE(2026,7,5),"2-Transition","3-Outage-heavy"))</f>
        <v>3-Outage-heavy</v>
      </c>
      <c r="U258" s="9" t="str">
        <f aca="false">IF(K258="","",IF(ISNUMBER(SEARCH("TURBINE",K258)),"Turbine",IF(ISNUMBER(SEARCH("GENERATOR",K258)),"Generator",IF(ISNUMBER(SEARCH("BOILER",K258)),"Boiler",IF(ISNUMBER(SEARCH("AIR PREHEATER",K258)),"Auxiliary",IF(ISNUMBER(SEARCH("ELECTRICAL",K258)),"Electrical","Other"))))))</f>
        <v/>
      </c>
      <c r="V258" s="9" t="n">
        <f aca="false">AVERAGEIFS(G:G,B:B,B258,H:H,0)</f>
        <v>3.98888888888889</v>
      </c>
      <c r="W258" s="9" t="n">
        <f aca="false">IF(P258=1,MAX(0,V258-G258),0)</f>
        <v>0</v>
      </c>
    </row>
    <row r="259" customFormat="false" ht="15" hidden="false" customHeight="false" outlineLevel="0" collapsed="false">
      <c r="A259" s="8" t="n">
        <v>46215</v>
      </c>
      <c r="B259" s="9" t="n">
        <v>6</v>
      </c>
      <c r="C259" s="9" t="str">
        <f aca="false">"Unit "&amp;B259</f>
        <v>Unit 6</v>
      </c>
      <c r="D259" s="9"/>
      <c r="E259" s="9" t="n">
        <v>195</v>
      </c>
      <c r="F259" s="9" t="n">
        <v>3.84</v>
      </c>
      <c r="G259" s="9" t="n">
        <v>3.83</v>
      </c>
      <c r="H259" s="9" t="n">
        <v>0</v>
      </c>
      <c r="I259" s="9"/>
      <c r="J259" s="9"/>
      <c r="K259" s="9"/>
      <c r="L259" s="9" t="n">
        <f aca="false">E259*24/1000</f>
        <v>4.68</v>
      </c>
      <c r="M259" s="10" t="n">
        <f aca="false">G259/L259</f>
        <v>0.818376068376069</v>
      </c>
      <c r="N259" s="9" t="n">
        <f aca="false">G259-F259</f>
        <v>-0.00999999999999979</v>
      </c>
      <c r="O259" s="10" t="n">
        <f aca="false">IF(F259=0,"",G259/F259)</f>
        <v>0.997395833333333</v>
      </c>
      <c r="P259" s="9" t="n">
        <f aca="false">IF(H259&gt;0,1,0)</f>
        <v>0</v>
      </c>
      <c r="Q259" s="9" t="n">
        <f aca="false">IF(G259=0,1,0)</f>
        <v>0</v>
      </c>
      <c r="R259" s="9" t="str">
        <f aca="false">TEXT(A259,"mmm")</f>
        <v>Jul</v>
      </c>
      <c r="S259" s="9" t="n">
        <f aca="false">WEEKNUM(A259,2)</f>
        <v>28</v>
      </c>
      <c r="T259" s="9" t="str">
        <f aca="false">IF(A259&lt;DATE(2026,6,30),"1-Pre-outage",IF(A259&lt;DATE(2026,7,5),"2-Transition","3-Outage-heavy"))</f>
        <v>3-Outage-heavy</v>
      </c>
      <c r="U259" s="9" t="str">
        <f aca="false">IF(K259="","",IF(ISNUMBER(SEARCH("TURBINE",K259)),"Turbine",IF(ISNUMBER(SEARCH("GENERATOR",K259)),"Generator",IF(ISNUMBER(SEARCH("BOILER",K259)),"Boiler",IF(ISNUMBER(SEARCH("AIR PREHEATER",K259)),"Auxiliary",IF(ISNUMBER(SEARCH("ELECTRICAL",K259)),"Electrical","Other"))))))</f>
        <v/>
      </c>
      <c r="V259" s="9" t="n">
        <f aca="false">AVERAGEIFS(G:G,B:B,B259,H:H,0)</f>
        <v>3.85377777777778</v>
      </c>
      <c r="W259" s="9" t="n">
        <f aca="false">IF(P259=1,MAX(0,V259-G259),0)</f>
        <v>0</v>
      </c>
    </row>
    <row r="260" customFormat="false" ht="15" hidden="false" customHeight="false" outlineLevel="0" collapsed="false">
      <c r="A260" s="8" t="n">
        <v>46215</v>
      </c>
      <c r="B260" s="9" t="n">
        <v>7</v>
      </c>
      <c r="C260" s="9" t="str">
        <f aca="false">"Unit "&amp;B260</f>
        <v>Unit 7</v>
      </c>
      <c r="D260" s="9"/>
      <c r="E260" s="9" t="n">
        <v>195</v>
      </c>
      <c r="F260" s="9" t="n">
        <v>0</v>
      </c>
      <c r="G260" s="9" t="n">
        <v>3.89</v>
      </c>
      <c r="H260" s="9" t="n">
        <v>0</v>
      </c>
      <c r="I260" s="9"/>
      <c r="J260" s="9"/>
      <c r="K260" s="9"/>
      <c r="L260" s="9" t="n">
        <f aca="false">E260*24/1000</f>
        <v>4.68</v>
      </c>
      <c r="M260" s="10" t="n">
        <f aca="false">G260/L260</f>
        <v>0.831196581196581</v>
      </c>
      <c r="N260" s="9" t="n">
        <f aca="false">G260-F260</f>
        <v>3.89</v>
      </c>
      <c r="O260" s="10" t="str">
        <f aca="false">IF(F260=0,"",G260/F260)</f>
        <v/>
      </c>
      <c r="P260" s="9" t="n">
        <f aca="false">IF(H260&gt;0,1,0)</f>
        <v>0</v>
      </c>
      <c r="Q260" s="9" t="n">
        <f aca="false">IF(G260=0,1,0)</f>
        <v>0</v>
      </c>
      <c r="R260" s="9" t="str">
        <f aca="false">TEXT(A260,"mmm")</f>
        <v>Jul</v>
      </c>
      <c r="S260" s="9" t="n">
        <f aca="false">WEEKNUM(A260,2)</f>
        <v>28</v>
      </c>
      <c r="T260" s="9" t="str">
        <f aca="false">IF(A260&lt;DATE(2026,6,30),"1-Pre-outage",IF(A260&lt;DATE(2026,7,5),"2-Transition","3-Outage-heavy"))</f>
        <v>3-Outage-heavy</v>
      </c>
      <c r="U260" s="9" t="str">
        <f aca="false">IF(K260="","",IF(ISNUMBER(SEARCH("TURBINE",K260)),"Turbine",IF(ISNUMBER(SEARCH("GENERATOR",K260)),"Generator",IF(ISNUMBER(SEARCH("BOILER",K260)),"Boiler",IF(ISNUMBER(SEARCH("AIR PREHEATER",K260)),"Auxiliary",IF(ISNUMBER(SEARCH("ELECTRICAL",K260)),"Electrical","Other"))))))</f>
        <v/>
      </c>
      <c r="V260" s="9" t="n">
        <f aca="false">AVERAGEIFS(G:G,B:B,B260,H:H,0)</f>
        <v>3.98375</v>
      </c>
      <c r="W260" s="9" t="n">
        <f aca="false">IF(P260=1,MAX(0,V260-G260),0)</f>
        <v>0</v>
      </c>
    </row>
    <row r="261" customFormat="false" ht="15" hidden="false" customHeight="false" outlineLevel="0" collapsed="false">
      <c r="A261" s="8" t="n">
        <v>46216</v>
      </c>
      <c r="B261" s="9" t="n">
        <v>1</v>
      </c>
      <c r="C261" s="9" t="str">
        <f aca="false">"Unit "&amp;B261</f>
        <v>Unit 1</v>
      </c>
      <c r="D261" s="9" t="s">
        <v>76</v>
      </c>
      <c r="E261" s="9" t="n">
        <v>110</v>
      </c>
      <c r="F261" s="9" t="n">
        <v>1.84</v>
      </c>
      <c r="G261" s="9" t="n">
        <v>0</v>
      </c>
      <c r="H261" s="9" t="n">
        <v>110</v>
      </c>
      <c r="I261" s="11" t="n">
        <v>46212.0006944445</v>
      </c>
      <c r="J261" s="9"/>
      <c r="K261" s="9" t="s">
        <v>90</v>
      </c>
      <c r="L261" s="9" t="n">
        <f aca="false">E261*24/1000</f>
        <v>2.64</v>
      </c>
      <c r="M261" s="10" t="n">
        <f aca="false">G261/L261</f>
        <v>0</v>
      </c>
      <c r="N261" s="9" t="n">
        <f aca="false">G261-F261</f>
        <v>-1.84</v>
      </c>
      <c r="O261" s="10" t="n">
        <f aca="false">IF(F261=0,"",G261/F261)</f>
        <v>0</v>
      </c>
      <c r="P261" s="9" t="n">
        <f aca="false">IF(H261&gt;0,1,0)</f>
        <v>1</v>
      </c>
      <c r="Q261" s="9" t="n">
        <f aca="false">IF(G261=0,1,0)</f>
        <v>1</v>
      </c>
      <c r="R261" s="9" t="str">
        <f aca="false">TEXT(A261,"mmm")</f>
        <v>Jul</v>
      </c>
      <c r="S261" s="9" t="n">
        <f aca="false">WEEKNUM(A261,2)</f>
        <v>29</v>
      </c>
      <c r="T261" s="9" t="str">
        <f aca="false">IF(A261&lt;DATE(2026,6,30),"1-Pre-outage",IF(A261&lt;DATE(2026,7,5),"2-Transition","3-Outage-heavy"))</f>
        <v>3-Outage-heavy</v>
      </c>
      <c r="U261" s="9" t="str">
        <f aca="false">IF(K261="","",IF(ISNUMBER(SEARCH("TURBINE",K261)),"Turbine",IF(ISNUMBER(SEARCH("GENERATOR",K261)),"Generator",IF(ISNUMBER(SEARCH("BOILER",K261)),"Boiler",IF(ISNUMBER(SEARCH("AIR PREHEATER",K261)),"Auxiliary",IF(ISNUMBER(SEARCH("ELECTRICAL",K261)),"Electrical","Other"))))))</f>
        <v>Generator</v>
      </c>
      <c r="V261" s="9" t="n">
        <f aca="false">AVERAGEIFS(G:G,B:B,B261,H:H,0)</f>
        <v>1.61181818181818</v>
      </c>
      <c r="W261" s="9" t="n">
        <f aca="false">IF(P261=1,MAX(0,V261-G261),0)</f>
        <v>1.61181818181818</v>
      </c>
    </row>
    <row r="262" customFormat="false" ht="15" hidden="false" customHeight="false" outlineLevel="0" collapsed="false">
      <c r="A262" s="8" t="n">
        <v>46216</v>
      </c>
      <c r="B262" s="9" t="n">
        <v>2</v>
      </c>
      <c r="C262" s="9" t="str">
        <f aca="false">"Unit "&amp;B262</f>
        <v>Unit 2</v>
      </c>
      <c r="D262" s="9"/>
      <c r="E262" s="9" t="n">
        <v>110</v>
      </c>
      <c r="F262" s="9" t="n">
        <v>1.87</v>
      </c>
      <c r="G262" s="9" t="n">
        <v>1.69</v>
      </c>
      <c r="H262" s="9" t="n">
        <v>0</v>
      </c>
      <c r="I262" s="9"/>
      <c r="J262" s="9"/>
      <c r="K262" s="9"/>
      <c r="L262" s="9" t="n">
        <f aca="false">E262*24/1000</f>
        <v>2.64</v>
      </c>
      <c r="M262" s="10" t="n">
        <f aca="false">G262/L262</f>
        <v>0.640151515151515</v>
      </c>
      <c r="N262" s="9" t="n">
        <f aca="false">G262-F262</f>
        <v>-0.18</v>
      </c>
      <c r="O262" s="10" t="n">
        <f aca="false">IF(F262=0,"",G262/F262)</f>
        <v>0.903743315508021</v>
      </c>
      <c r="P262" s="9" t="n">
        <f aca="false">IF(H262&gt;0,1,0)</f>
        <v>0</v>
      </c>
      <c r="Q262" s="9" t="n">
        <f aca="false">IF(G262=0,1,0)</f>
        <v>0</v>
      </c>
      <c r="R262" s="9" t="str">
        <f aca="false">TEXT(A262,"mmm")</f>
        <v>Jul</v>
      </c>
      <c r="S262" s="9" t="n">
        <f aca="false">WEEKNUM(A262,2)</f>
        <v>29</v>
      </c>
      <c r="T262" s="9" t="str">
        <f aca="false">IF(A262&lt;DATE(2026,6,30),"1-Pre-outage",IF(A262&lt;DATE(2026,7,5),"2-Transition","3-Outage-heavy"))</f>
        <v>3-Outage-heavy</v>
      </c>
      <c r="U262" s="9" t="str">
        <f aca="false">IF(K262="","",IF(ISNUMBER(SEARCH("TURBINE",K262)),"Turbine",IF(ISNUMBER(SEARCH("GENERATOR",K262)),"Generator",IF(ISNUMBER(SEARCH("BOILER",K262)),"Boiler",IF(ISNUMBER(SEARCH("AIR PREHEATER",K262)),"Auxiliary",IF(ISNUMBER(SEARCH("ELECTRICAL",K262)),"Electrical","Other"))))))</f>
        <v/>
      </c>
      <c r="V262" s="9" t="n">
        <f aca="false">AVERAGEIFS(G:G,B:B,B262,H:H,0)</f>
        <v>1.67955555555556</v>
      </c>
      <c r="W262" s="9" t="n">
        <f aca="false">IF(P262=1,MAX(0,V262-G262),0)</f>
        <v>0</v>
      </c>
    </row>
    <row r="263" customFormat="false" ht="15" hidden="false" customHeight="false" outlineLevel="0" collapsed="false">
      <c r="A263" s="8" t="n">
        <v>46216</v>
      </c>
      <c r="B263" s="9" t="n">
        <v>3</v>
      </c>
      <c r="C263" s="9" t="str">
        <f aca="false">"Unit "&amp;B263</f>
        <v>Unit 3</v>
      </c>
      <c r="D263" s="9"/>
      <c r="E263" s="9" t="n">
        <v>210</v>
      </c>
      <c r="F263" s="9" t="n">
        <v>3.67</v>
      </c>
      <c r="G263" s="9" t="n">
        <v>3.69</v>
      </c>
      <c r="H263" s="9" t="n">
        <v>0</v>
      </c>
      <c r="I263" s="9"/>
      <c r="J263" s="9"/>
      <c r="K263" s="9"/>
      <c r="L263" s="9" t="n">
        <f aca="false">E263*24/1000</f>
        <v>5.04</v>
      </c>
      <c r="M263" s="10" t="n">
        <f aca="false">G263/L263</f>
        <v>0.732142857142857</v>
      </c>
      <c r="N263" s="9" t="n">
        <f aca="false">G263-F263</f>
        <v>0.02</v>
      </c>
      <c r="O263" s="10" t="n">
        <f aca="false">IF(F263=0,"",G263/F263)</f>
        <v>1.00544959128065</v>
      </c>
      <c r="P263" s="9" t="n">
        <f aca="false">IF(H263&gt;0,1,0)</f>
        <v>0</v>
      </c>
      <c r="Q263" s="9" t="n">
        <f aca="false">IF(G263=0,1,0)</f>
        <v>0</v>
      </c>
      <c r="R263" s="9" t="str">
        <f aca="false">TEXT(A263,"mmm")</f>
        <v>Jul</v>
      </c>
      <c r="S263" s="9" t="n">
        <f aca="false">WEEKNUM(A263,2)</f>
        <v>29</v>
      </c>
      <c r="T263" s="9" t="str">
        <f aca="false">IF(A263&lt;DATE(2026,6,30),"1-Pre-outage",IF(A263&lt;DATE(2026,7,5),"2-Transition","3-Outage-heavy"))</f>
        <v>3-Outage-heavy</v>
      </c>
      <c r="U263" s="9" t="str">
        <f aca="false">IF(K263="","",IF(ISNUMBER(SEARCH("TURBINE",K263)),"Turbine",IF(ISNUMBER(SEARCH("GENERATOR",K263)),"Generator",IF(ISNUMBER(SEARCH("BOILER",K263)),"Boiler",IF(ISNUMBER(SEARCH("AIR PREHEATER",K263)),"Auxiliary",IF(ISNUMBER(SEARCH("ELECTRICAL",K263)),"Electrical","Other"))))))</f>
        <v/>
      </c>
      <c r="V263" s="9" t="n">
        <f aca="false">AVERAGEIFS(G:G,B:B,B263,H:H,0)</f>
        <v>3.72697674418605</v>
      </c>
      <c r="W263" s="9" t="n">
        <f aca="false">IF(P263=1,MAX(0,V263-G263),0)</f>
        <v>0</v>
      </c>
    </row>
    <row r="264" customFormat="false" ht="15" hidden="false" customHeight="false" outlineLevel="0" collapsed="false">
      <c r="A264" s="8" t="n">
        <v>46216</v>
      </c>
      <c r="B264" s="9" t="n">
        <v>4</v>
      </c>
      <c r="C264" s="9" t="str">
        <f aca="false">"Unit "&amp;B264</f>
        <v>Unit 4</v>
      </c>
      <c r="D264" s="9" t="s">
        <v>76</v>
      </c>
      <c r="E264" s="9" t="n">
        <v>210</v>
      </c>
      <c r="F264" s="9" t="n">
        <v>0</v>
      </c>
      <c r="G264" s="9" t="n">
        <v>0</v>
      </c>
      <c r="H264" s="9" t="n">
        <v>210</v>
      </c>
      <c r="I264" s="11" t="n">
        <v>46208</v>
      </c>
      <c r="J264" s="9"/>
      <c r="K264" s="9" t="s">
        <v>84</v>
      </c>
      <c r="L264" s="9" t="n">
        <f aca="false">E264*24/1000</f>
        <v>5.04</v>
      </c>
      <c r="M264" s="10" t="n">
        <f aca="false">G264/L264</f>
        <v>0</v>
      </c>
      <c r="N264" s="9" t="n">
        <f aca="false">G264-F264</f>
        <v>0</v>
      </c>
      <c r="O264" s="10" t="str">
        <f aca="false">IF(F264=0,"",G264/F264)</f>
        <v/>
      </c>
      <c r="P264" s="9" t="n">
        <f aca="false">IF(H264&gt;0,1,0)</f>
        <v>1</v>
      </c>
      <c r="Q264" s="9" t="n">
        <f aca="false">IF(G264=0,1,0)</f>
        <v>1</v>
      </c>
      <c r="R264" s="9" t="str">
        <f aca="false">TEXT(A264,"mmm")</f>
        <v>Jul</v>
      </c>
      <c r="S264" s="9" t="n">
        <f aca="false">WEEKNUM(A264,2)</f>
        <v>29</v>
      </c>
      <c r="T264" s="9" t="str">
        <f aca="false">IF(A264&lt;DATE(2026,6,30),"1-Pre-outage",IF(A264&lt;DATE(2026,7,5),"2-Transition","3-Outage-heavy"))</f>
        <v>3-Outage-heavy</v>
      </c>
      <c r="U264" s="9" t="str">
        <f aca="false">IF(K264="","",IF(ISNUMBER(SEARCH("TURBINE",K264)),"Turbine",IF(ISNUMBER(SEARCH("GENERATOR",K264)),"Generator",IF(ISNUMBER(SEARCH("BOILER",K264)),"Boiler",IF(ISNUMBER(SEARCH("AIR PREHEATER",K264)),"Auxiliary",IF(ISNUMBER(SEARCH("ELECTRICAL",K264)),"Electrical","Other"))))))</f>
        <v>Turbine</v>
      </c>
      <c r="V264" s="9" t="n">
        <f aca="false">AVERAGEIFS(G:G,B:B,B264,H:H,0)</f>
        <v>3.53586206896552</v>
      </c>
      <c r="W264" s="9" t="n">
        <f aca="false">IF(P264=1,MAX(0,V264-G264),0)</f>
        <v>3.53586206896552</v>
      </c>
    </row>
    <row r="265" customFormat="false" ht="15" hidden="false" customHeight="false" outlineLevel="0" collapsed="false">
      <c r="A265" s="8" t="n">
        <v>46216</v>
      </c>
      <c r="B265" s="9" t="n">
        <v>5</v>
      </c>
      <c r="C265" s="9" t="str">
        <f aca="false">"Unit "&amp;B265</f>
        <v>Unit 5</v>
      </c>
      <c r="D265" s="9"/>
      <c r="E265" s="9" t="n">
        <v>210</v>
      </c>
      <c r="F265" s="9" t="n">
        <v>3.81</v>
      </c>
      <c r="G265" s="9" t="n">
        <v>4.02</v>
      </c>
      <c r="H265" s="9" t="n">
        <v>0</v>
      </c>
      <c r="I265" s="9"/>
      <c r="J265" s="9"/>
      <c r="K265" s="9"/>
      <c r="L265" s="9" t="n">
        <f aca="false">E265*24/1000</f>
        <v>5.04</v>
      </c>
      <c r="M265" s="10" t="n">
        <f aca="false">G265/L265</f>
        <v>0.797619047619048</v>
      </c>
      <c r="N265" s="9" t="n">
        <f aca="false">G265-F265</f>
        <v>0.21</v>
      </c>
      <c r="O265" s="10" t="n">
        <f aca="false">IF(F265=0,"",G265/F265)</f>
        <v>1.05511811023622</v>
      </c>
      <c r="P265" s="9" t="n">
        <f aca="false">IF(H265&gt;0,1,0)</f>
        <v>0</v>
      </c>
      <c r="Q265" s="9" t="n">
        <f aca="false">IF(G265=0,1,0)</f>
        <v>0</v>
      </c>
      <c r="R265" s="9" t="str">
        <f aca="false">TEXT(A265,"mmm")</f>
        <v>Jul</v>
      </c>
      <c r="S265" s="9" t="n">
        <f aca="false">WEEKNUM(A265,2)</f>
        <v>29</v>
      </c>
      <c r="T265" s="9" t="str">
        <f aca="false">IF(A265&lt;DATE(2026,6,30),"1-Pre-outage",IF(A265&lt;DATE(2026,7,5),"2-Transition","3-Outage-heavy"))</f>
        <v>3-Outage-heavy</v>
      </c>
      <c r="U265" s="9" t="str">
        <f aca="false">IF(K265="","",IF(ISNUMBER(SEARCH("TURBINE",K265)),"Turbine",IF(ISNUMBER(SEARCH("GENERATOR",K265)),"Generator",IF(ISNUMBER(SEARCH("BOILER",K265)),"Boiler",IF(ISNUMBER(SEARCH("AIR PREHEATER",K265)),"Auxiliary",IF(ISNUMBER(SEARCH("ELECTRICAL",K265)),"Electrical","Other"))))))</f>
        <v/>
      </c>
      <c r="V265" s="9" t="n">
        <f aca="false">AVERAGEIFS(G:G,B:B,B265,H:H,0)</f>
        <v>3.98888888888889</v>
      </c>
      <c r="W265" s="9" t="n">
        <f aca="false">IF(P265=1,MAX(0,V265-G265),0)</f>
        <v>0</v>
      </c>
    </row>
    <row r="266" customFormat="false" ht="15" hidden="false" customHeight="false" outlineLevel="0" collapsed="false">
      <c r="A266" s="8" t="n">
        <v>46216</v>
      </c>
      <c r="B266" s="9" t="n">
        <v>6</v>
      </c>
      <c r="C266" s="9" t="str">
        <f aca="false">"Unit "&amp;B266</f>
        <v>Unit 6</v>
      </c>
      <c r="D266" s="9"/>
      <c r="E266" s="9" t="n">
        <v>195</v>
      </c>
      <c r="F266" s="9" t="n">
        <v>3.84</v>
      </c>
      <c r="G266" s="9" t="n">
        <v>3.85</v>
      </c>
      <c r="H266" s="9" t="n">
        <v>0</v>
      </c>
      <c r="I266" s="9"/>
      <c r="J266" s="9"/>
      <c r="K266" s="9"/>
      <c r="L266" s="9" t="n">
        <f aca="false">E266*24/1000</f>
        <v>4.68</v>
      </c>
      <c r="M266" s="10" t="n">
        <f aca="false">G266/L266</f>
        <v>0.822649572649573</v>
      </c>
      <c r="N266" s="9" t="n">
        <f aca="false">G266-F266</f>
        <v>0.0100000000000002</v>
      </c>
      <c r="O266" s="10" t="n">
        <f aca="false">IF(F266=0,"",G266/F266)</f>
        <v>1.00260416666667</v>
      </c>
      <c r="P266" s="9" t="n">
        <f aca="false">IF(H266&gt;0,1,0)</f>
        <v>0</v>
      </c>
      <c r="Q266" s="9" t="n">
        <f aca="false">IF(G266=0,1,0)</f>
        <v>0</v>
      </c>
      <c r="R266" s="9" t="str">
        <f aca="false">TEXT(A266,"mmm")</f>
        <v>Jul</v>
      </c>
      <c r="S266" s="9" t="n">
        <f aca="false">WEEKNUM(A266,2)</f>
        <v>29</v>
      </c>
      <c r="T266" s="9" t="str">
        <f aca="false">IF(A266&lt;DATE(2026,6,30),"1-Pre-outage",IF(A266&lt;DATE(2026,7,5),"2-Transition","3-Outage-heavy"))</f>
        <v>3-Outage-heavy</v>
      </c>
      <c r="U266" s="9" t="str">
        <f aca="false">IF(K266="","",IF(ISNUMBER(SEARCH("TURBINE",K266)),"Turbine",IF(ISNUMBER(SEARCH("GENERATOR",K266)),"Generator",IF(ISNUMBER(SEARCH("BOILER",K266)),"Boiler",IF(ISNUMBER(SEARCH("AIR PREHEATER",K266)),"Auxiliary",IF(ISNUMBER(SEARCH("ELECTRICAL",K266)),"Electrical","Other"))))))</f>
        <v/>
      </c>
      <c r="V266" s="9" t="n">
        <f aca="false">AVERAGEIFS(G:G,B:B,B266,H:H,0)</f>
        <v>3.85377777777778</v>
      </c>
      <c r="W266" s="9" t="n">
        <f aca="false">IF(P266=1,MAX(0,V266-G266),0)</f>
        <v>0</v>
      </c>
    </row>
    <row r="267" customFormat="false" ht="15" hidden="false" customHeight="false" outlineLevel="0" collapsed="false">
      <c r="A267" s="8" t="n">
        <v>46216</v>
      </c>
      <c r="B267" s="9" t="n">
        <v>7</v>
      </c>
      <c r="C267" s="9" t="str">
        <f aca="false">"Unit "&amp;B267</f>
        <v>Unit 7</v>
      </c>
      <c r="D267" s="9"/>
      <c r="E267" s="9" t="n">
        <v>195</v>
      </c>
      <c r="F267" s="9" t="n">
        <v>0</v>
      </c>
      <c r="G267" s="9" t="n">
        <v>4.17</v>
      </c>
      <c r="H267" s="9" t="n">
        <v>0</v>
      </c>
      <c r="I267" s="9"/>
      <c r="J267" s="9"/>
      <c r="K267" s="9"/>
      <c r="L267" s="9" t="n">
        <f aca="false">E267*24/1000</f>
        <v>4.68</v>
      </c>
      <c r="M267" s="10" t="n">
        <f aca="false">G267/L267</f>
        <v>0.891025641025641</v>
      </c>
      <c r="N267" s="9" t="n">
        <f aca="false">G267-F267</f>
        <v>4.17</v>
      </c>
      <c r="O267" s="10" t="str">
        <f aca="false">IF(F267=0,"",G267/F267)</f>
        <v/>
      </c>
      <c r="P267" s="9" t="n">
        <f aca="false">IF(H267&gt;0,1,0)</f>
        <v>0</v>
      </c>
      <c r="Q267" s="9" t="n">
        <f aca="false">IF(G267=0,1,0)</f>
        <v>0</v>
      </c>
      <c r="R267" s="9" t="str">
        <f aca="false">TEXT(A267,"mmm")</f>
        <v>Jul</v>
      </c>
      <c r="S267" s="9" t="n">
        <f aca="false">WEEKNUM(A267,2)</f>
        <v>29</v>
      </c>
      <c r="T267" s="9" t="str">
        <f aca="false">IF(A267&lt;DATE(2026,6,30),"1-Pre-outage",IF(A267&lt;DATE(2026,7,5),"2-Transition","3-Outage-heavy"))</f>
        <v>3-Outage-heavy</v>
      </c>
      <c r="U267" s="9" t="str">
        <f aca="false">IF(K267="","",IF(ISNUMBER(SEARCH("TURBINE",K267)),"Turbine",IF(ISNUMBER(SEARCH("GENERATOR",K267)),"Generator",IF(ISNUMBER(SEARCH("BOILER",K267)),"Boiler",IF(ISNUMBER(SEARCH("AIR PREHEATER",K267)),"Auxiliary",IF(ISNUMBER(SEARCH("ELECTRICAL",K267)),"Electrical","Other"))))))</f>
        <v/>
      </c>
      <c r="V267" s="9" t="n">
        <f aca="false">AVERAGEIFS(G:G,B:B,B267,H:H,0)</f>
        <v>3.98375</v>
      </c>
      <c r="W267" s="9" t="n">
        <f aca="false">IF(P267=1,MAX(0,V267-G267),0)</f>
        <v>0</v>
      </c>
    </row>
    <row r="268" customFormat="false" ht="15" hidden="false" customHeight="false" outlineLevel="0" collapsed="false">
      <c r="A268" s="8" t="n">
        <v>46217</v>
      </c>
      <c r="B268" s="9" t="n">
        <v>1</v>
      </c>
      <c r="C268" s="9" t="str">
        <f aca="false">"Unit "&amp;B268</f>
        <v>Unit 1</v>
      </c>
      <c r="D268" s="9" t="s">
        <v>76</v>
      </c>
      <c r="E268" s="9" t="n">
        <v>110</v>
      </c>
      <c r="F268" s="9" t="n">
        <v>1.84</v>
      </c>
      <c r="G268" s="9" t="n">
        <v>0</v>
      </c>
      <c r="H268" s="9" t="n">
        <v>110</v>
      </c>
      <c r="I268" s="11" t="n">
        <v>46212.0006944445</v>
      </c>
      <c r="J268" s="9"/>
      <c r="K268" s="9" t="s">
        <v>90</v>
      </c>
      <c r="L268" s="9" t="n">
        <f aca="false">E268*24/1000</f>
        <v>2.64</v>
      </c>
      <c r="M268" s="10" t="n">
        <f aca="false">G268/L268</f>
        <v>0</v>
      </c>
      <c r="N268" s="9" t="n">
        <f aca="false">G268-F268</f>
        <v>-1.84</v>
      </c>
      <c r="O268" s="10" t="n">
        <f aca="false">IF(F268=0,"",G268/F268)</f>
        <v>0</v>
      </c>
      <c r="P268" s="9" t="n">
        <f aca="false">IF(H268&gt;0,1,0)</f>
        <v>1</v>
      </c>
      <c r="Q268" s="9" t="n">
        <f aca="false">IF(G268=0,1,0)</f>
        <v>1</v>
      </c>
      <c r="R268" s="9" t="str">
        <f aca="false">TEXT(A268,"mmm")</f>
        <v>Jul</v>
      </c>
      <c r="S268" s="9" t="n">
        <f aca="false">WEEKNUM(A268,2)</f>
        <v>29</v>
      </c>
      <c r="T268" s="9" t="str">
        <f aca="false">IF(A268&lt;DATE(2026,6,30),"1-Pre-outage",IF(A268&lt;DATE(2026,7,5),"2-Transition","3-Outage-heavy"))</f>
        <v>3-Outage-heavy</v>
      </c>
      <c r="U268" s="9" t="str">
        <f aca="false">IF(K268="","",IF(ISNUMBER(SEARCH("TURBINE",K268)),"Turbine",IF(ISNUMBER(SEARCH("GENERATOR",K268)),"Generator",IF(ISNUMBER(SEARCH("BOILER",K268)),"Boiler",IF(ISNUMBER(SEARCH("AIR PREHEATER",K268)),"Auxiliary",IF(ISNUMBER(SEARCH("ELECTRICAL",K268)),"Electrical","Other"))))))</f>
        <v>Generator</v>
      </c>
      <c r="V268" s="9" t="n">
        <f aca="false">AVERAGEIFS(G:G,B:B,B268,H:H,0)</f>
        <v>1.61181818181818</v>
      </c>
      <c r="W268" s="9" t="n">
        <f aca="false">IF(P268=1,MAX(0,V268-G268),0)</f>
        <v>1.61181818181818</v>
      </c>
    </row>
    <row r="269" customFormat="false" ht="15" hidden="false" customHeight="false" outlineLevel="0" collapsed="false">
      <c r="A269" s="8" t="n">
        <v>46217</v>
      </c>
      <c r="B269" s="9" t="n">
        <v>2</v>
      </c>
      <c r="C269" s="9" t="str">
        <f aca="false">"Unit "&amp;B269</f>
        <v>Unit 2</v>
      </c>
      <c r="D269" s="9"/>
      <c r="E269" s="9" t="n">
        <v>110</v>
      </c>
      <c r="F269" s="9" t="n">
        <v>1.87</v>
      </c>
      <c r="G269" s="9" t="n">
        <v>1.77</v>
      </c>
      <c r="H269" s="9" t="n">
        <v>0</v>
      </c>
      <c r="I269" s="9"/>
      <c r="J269" s="9"/>
      <c r="K269" s="9"/>
      <c r="L269" s="9" t="n">
        <f aca="false">E269*24/1000</f>
        <v>2.64</v>
      </c>
      <c r="M269" s="10" t="n">
        <f aca="false">G269/L269</f>
        <v>0.670454545454545</v>
      </c>
      <c r="N269" s="9" t="n">
        <f aca="false">G269-F269</f>
        <v>-0.1</v>
      </c>
      <c r="O269" s="10" t="n">
        <f aca="false">IF(F269=0,"",G269/F269)</f>
        <v>0.946524064171123</v>
      </c>
      <c r="P269" s="9" t="n">
        <f aca="false">IF(H269&gt;0,1,0)</f>
        <v>0</v>
      </c>
      <c r="Q269" s="9" t="n">
        <f aca="false">IF(G269=0,1,0)</f>
        <v>0</v>
      </c>
      <c r="R269" s="9" t="str">
        <f aca="false">TEXT(A269,"mmm")</f>
        <v>Jul</v>
      </c>
      <c r="S269" s="9" t="n">
        <f aca="false">WEEKNUM(A269,2)</f>
        <v>29</v>
      </c>
      <c r="T269" s="9" t="str">
        <f aca="false">IF(A269&lt;DATE(2026,6,30),"1-Pre-outage",IF(A269&lt;DATE(2026,7,5),"2-Transition","3-Outage-heavy"))</f>
        <v>3-Outage-heavy</v>
      </c>
      <c r="U269" s="9" t="str">
        <f aca="false">IF(K269="","",IF(ISNUMBER(SEARCH("TURBINE",K269)),"Turbine",IF(ISNUMBER(SEARCH("GENERATOR",K269)),"Generator",IF(ISNUMBER(SEARCH("BOILER",K269)),"Boiler",IF(ISNUMBER(SEARCH("AIR PREHEATER",K269)),"Auxiliary",IF(ISNUMBER(SEARCH("ELECTRICAL",K269)),"Electrical","Other"))))))</f>
        <v/>
      </c>
      <c r="V269" s="9" t="n">
        <f aca="false">AVERAGEIFS(G:G,B:B,B269,H:H,0)</f>
        <v>1.67955555555556</v>
      </c>
      <c r="W269" s="9" t="n">
        <f aca="false">IF(P269=1,MAX(0,V269-G269),0)</f>
        <v>0</v>
      </c>
    </row>
    <row r="270" customFormat="false" ht="15" hidden="false" customHeight="false" outlineLevel="0" collapsed="false">
      <c r="A270" s="8" t="n">
        <v>46217</v>
      </c>
      <c r="B270" s="9" t="n">
        <v>3</v>
      </c>
      <c r="C270" s="9" t="str">
        <f aca="false">"Unit "&amp;B270</f>
        <v>Unit 3</v>
      </c>
      <c r="D270" s="9"/>
      <c r="E270" s="9" t="n">
        <v>210</v>
      </c>
      <c r="F270" s="9" t="n">
        <v>3.67</v>
      </c>
      <c r="G270" s="9" t="n">
        <v>3.82</v>
      </c>
      <c r="H270" s="9" t="n">
        <v>0</v>
      </c>
      <c r="I270" s="9"/>
      <c r="J270" s="9"/>
      <c r="K270" s="9"/>
      <c r="L270" s="9" t="n">
        <f aca="false">E270*24/1000</f>
        <v>5.04</v>
      </c>
      <c r="M270" s="10" t="n">
        <f aca="false">G270/L270</f>
        <v>0.757936507936508</v>
      </c>
      <c r="N270" s="9" t="n">
        <f aca="false">G270-F270</f>
        <v>0.15</v>
      </c>
      <c r="O270" s="10" t="n">
        <f aca="false">IF(F270=0,"",G270/F270)</f>
        <v>1.0408719346049</v>
      </c>
      <c r="P270" s="9" t="n">
        <f aca="false">IF(H270&gt;0,1,0)</f>
        <v>0</v>
      </c>
      <c r="Q270" s="9" t="n">
        <f aca="false">IF(G270=0,1,0)</f>
        <v>0</v>
      </c>
      <c r="R270" s="9" t="str">
        <f aca="false">TEXT(A270,"mmm")</f>
        <v>Jul</v>
      </c>
      <c r="S270" s="9" t="n">
        <f aca="false">WEEKNUM(A270,2)</f>
        <v>29</v>
      </c>
      <c r="T270" s="9" t="str">
        <f aca="false">IF(A270&lt;DATE(2026,6,30),"1-Pre-outage",IF(A270&lt;DATE(2026,7,5),"2-Transition","3-Outage-heavy"))</f>
        <v>3-Outage-heavy</v>
      </c>
      <c r="U270" s="9" t="str">
        <f aca="false">IF(K270="","",IF(ISNUMBER(SEARCH("TURBINE",K270)),"Turbine",IF(ISNUMBER(SEARCH("GENERATOR",K270)),"Generator",IF(ISNUMBER(SEARCH("BOILER",K270)),"Boiler",IF(ISNUMBER(SEARCH("AIR PREHEATER",K270)),"Auxiliary",IF(ISNUMBER(SEARCH("ELECTRICAL",K270)),"Electrical","Other"))))))</f>
        <v/>
      </c>
      <c r="V270" s="9" t="n">
        <f aca="false">AVERAGEIFS(G:G,B:B,B270,H:H,0)</f>
        <v>3.72697674418605</v>
      </c>
      <c r="W270" s="9" t="n">
        <f aca="false">IF(P270=1,MAX(0,V270-G270),0)</f>
        <v>0</v>
      </c>
    </row>
    <row r="271" customFormat="false" ht="15" hidden="false" customHeight="false" outlineLevel="0" collapsed="false">
      <c r="A271" s="8" t="n">
        <v>46217</v>
      </c>
      <c r="B271" s="9" t="n">
        <v>4</v>
      </c>
      <c r="C271" s="9" t="str">
        <f aca="false">"Unit "&amp;B271</f>
        <v>Unit 4</v>
      </c>
      <c r="D271" s="9" t="s">
        <v>76</v>
      </c>
      <c r="E271" s="9" t="n">
        <v>210</v>
      </c>
      <c r="F271" s="9" t="n">
        <v>0</v>
      </c>
      <c r="G271" s="9" t="n">
        <v>0</v>
      </c>
      <c r="H271" s="9" t="n">
        <v>210</v>
      </c>
      <c r="I271" s="11" t="n">
        <v>46208</v>
      </c>
      <c r="J271" s="9"/>
      <c r="K271" s="9" t="s">
        <v>84</v>
      </c>
      <c r="L271" s="9" t="n">
        <f aca="false">E271*24/1000</f>
        <v>5.04</v>
      </c>
      <c r="M271" s="10" t="n">
        <f aca="false">G271/L271</f>
        <v>0</v>
      </c>
      <c r="N271" s="9" t="n">
        <f aca="false">G271-F271</f>
        <v>0</v>
      </c>
      <c r="O271" s="10" t="str">
        <f aca="false">IF(F271=0,"",G271/F271)</f>
        <v/>
      </c>
      <c r="P271" s="9" t="n">
        <f aca="false">IF(H271&gt;0,1,0)</f>
        <v>1</v>
      </c>
      <c r="Q271" s="9" t="n">
        <f aca="false">IF(G271=0,1,0)</f>
        <v>1</v>
      </c>
      <c r="R271" s="9" t="str">
        <f aca="false">TEXT(A271,"mmm")</f>
        <v>Jul</v>
      </c>
      <c r="S271" s="9" t="n">
        <f aca="false">WEEKNUM(A271,2)</f>
        <v>29</v>
      </c>
      <c r="T271" s="9" t="str">
        <f aca="false">IF(A271&lt;DATE(2026,6,30),"1-Pre-outage",IF(A271&lt;DATE(2026,7,5),"2-Transition","3-Outage-heavy"))</f>
        <v>3-Outage-heavy</v>
      </c>
      <c r="U271" s="9" t="str">
        <f aca="false">IF(K271="","",IF(ISNUMBER(SEARCH("TURBINE",K271)),"Turbine",IF(ISNUMBER(SEARCH("GENERATOR",K271)),"Generator",IF(ISNUMBER(SEARCH("BOILER",K271)),"Boiler",IF(ISNUMBER(SEARCH("AIR PREHEATER",K271)),"Auxiliary",IF(ISNUMBER(SEARCH("ELECTRICAL",K271)),"Electrical","Other"))))))</f>
        <v>Turbine</v>
      </c>
      <c r="V271" s="9" t="n">
        <f aca="false">AVERAGEIFS(G:G,B:B,B271,H:H,0)</f>
        <v>3.53586206896552</v>
      </c>
      <c r="W271" s="9" t="n">
        <f aca="false">IF(P271=1,MAX(0,V271-G271),0)</f>
        <v>3.53586206896552</v>
      </c>
    </row>
    <row r="272" customFormat="false" ht="15" hidden="false" customHeight="false" outlineLevel="0" collapsed="false">
      <c r="A272" s="8" t="n">
        <v>46217</v>
      </c>
      <c r="B272" s="9" t="n">
        <v>5</v>
      </c>
      <c r="C272" s="9" t="str">
        <f aca="false">"Unit "&amp;B272</f>
        <v>Unit 5</v>
      </c>
      <c r="D272" s="9"/>
      <c r="E272" s="9" t="n">
        <v>210</v>
      </c>
      <c r="F272" s="9" t="n">
        <v>3.81</v>
      </c>
      <c r="G272" s="9" t="n">
        <v>4.11</v>
      </c>
      <c r="H272" s="9" t="n">
        <v>0</v>
      </c>
      <c r="I272" s="9"/>
      <c r="J272" s="9"/>
      <c r="K272" s="9"/>
      <c r="L272" s="9" t="n">
        <f aca="false">E272*24/1000</f>
        <v>5.04</v>
      </c>
      <c r="M272" s="10" t="n">
        <f aca="false">G272/L272</f>
        <v>0.815476190476191</v>
      </c>
      <c r="N272" s="9" t="n">
        <f aca="false">G272-F272</f>
        <v>0.3</v>
      </c>
      <c r="O272" s="10" t="n">
        <f aca="false">IF(F272=0,"",G272/F272)</f>
        <v>1.07874015748032</v>
      </c>
      <c r="P272" s="9" t="n">
        <f aca="false">IF(H272&gt;0,1,0)</f>
        <v>0</v>
      </c>
      <c r="Q272" s="9" t="n">
        <f aca="false">IF(G272=0,1,0)</f>
        <v>0</v>
      </c>
      <c r="R272" s="9" t="str">
        <f aca="false">TEXT(A272,"mmm")</f>
        <v>Jul</v>
      </c>
      <c r="S272" s="9" t="n">
        <f aca="false">WEEKNUM(A272,2)</f>
        <v>29</v>
      </c>
      <c r="T272" s="9" t="str">
        <f aca="false">IF(A272&lt;DATE(2026,6,30),"1-Pre-outage",IF(A272&lt;DATE(2026,7,5),"2-Transition","3-Outage-heavy"))</f>
        <v>3-Outage-heavy</v>
      </c>
      <c r="U272" s="9" t="str">
        <f aca="false">IF(K272="","",IF(ISNUMBER(SEARCH("TURBINE",K272)),"Turbine",IF(ISNUMBER(SEARCH("GENERATOR",K272)),"Generator",IF(ISNUMBER(SEARCH("BOILER",K272)),"Boiler",IF(ISNUMBER(SEARCH("AIR PREHEATER",K272)),"Auxiliary",IF(ISNUMBER(SEARCH("ELECTRICAL",K272)),"Electrical","Other"))))))</f>
        <v/>
      </c>
      <c r="V272" s="9" t="n">
        <f aca="false">AVERAGEIFS(G:G,B:B,B272,H:H,0)</f>
        <v>3.98888888888889</v>
      </c>
      <c r="W272" s="9" t="n">
        <f aca="false">IF(P272=1,MAX(0,V272-G272),0)</f>
        <v>0</v>
      </c>
    </row>
    <row r="273" customFormat="false" ht="15" hidden="false" customHeight="false" outlineLevel="0" collapsed="false">
      <c r="A273" s="8" t="n">
        <v>46217</v>
      </c>
      <c r="B273" s="9" t="n">
        <v>6</v>
      </c>
      <c r="C273" s="9" t="str">
        <f aca="false">"Unit "&amp;B273</f>
        <v>Unit 6</v>
      </c>
      <c r="D273" s="9"/>
      <c r="E273" s="9" t="n">
        <v>195</v>
      </c>
      <c r="F273" s="9" t="n">
        <v>3.84</v>
      </c>
      <c r="G273" s="9" t="n">
        <v>3.71</v>
      </c>
      <c r="H273" s="9" t="n">
        <v>0</v>
      </c>
      <c r="I273" s="9"/>
      <c r="J273" s="9"/>
      <c r="K273" s="9"/>
      <c r="L273" s="9" t="n">
        <f aca="false">E273*24/1000</f>
        <v>4.68</v>
      </c>
      <c r="M273" s="10" t="n">
        <f aca="false">G273/L273</f>
        <v>0.792735042735043</v>
      </c>
      <c r="N273" s="9" t="n">
        <f aca="false">G273-F273</f>
        <v>-0.13</v>
      </c>
      <c r="O273" s="10" t="n">
        <f aca="false">IF(F273=0,"",G273/F273)</f>
        <v>0.966145833333333</v>
      </c>
      <c r="P273" s="9" t="n">
        <f aca="false">IF(H273&gt;0,1,0)</f>
        <v>0</v>
      </c>
      <c r="Q273" s="9" t="n">
        <f aca="false">IF(G273=0,1,0)</f>
        <v>0</v>
      </c>
      <c r="R273" s="9" t="str">
        <f aca="false">TEXT(A273,"mmm")</f>
        <v>Jul</v>
      </c>
      <c r="S273" s="9" t="n">
        <f aca="false">WEEKNUM(A273,2)</f>
        <v>29</v>
      </c>
      <c r="T273" s="9" t="str">
        <f aca="false">IF(A273&lt;DATE(2026,6,30),"1-Pre-outage",IF(A273&lt;DATE(2026,7,5),"2-Transition","3-Outage-heavy"))</f>
        <v>3-Outage-heavy</v>
      </c>
      <c r="U273" s="9" t="str">
        <f aca="false">IF(K273="","",IF(ISNUMBER(SEARCH("TURBINE",K273)),"Turbine",IF(ISNUMBER(SEARCH("GENERATOR",K273)),"Generator",IF(ISNUMBER(SEARCH("BOILER",K273)),"Boiler",IF(ISNUMBER(SEARCH("AIR PREHEATER",K273)),"Auxiliary",IF(ISNUMBER(SEARCH("ELECTRICAL",K273)),"Electrical","Other"))))))</f>
        <v/>
      </c>
      <c r="V273" s="9" t="n">
        <f aca="false">AVERAGEIFS(G:G,B:B,B273,H:H,0)</f>
        <v>3.85377777777778</v>
      </c>
      <c r="W273" s="9" t="n">
        <f aca="false">IF(P273=1,MAX(0,V273-G273),0)</f>
        <v>0</v>
      </c>
    </row>
    <row r="274" customFormat="false" ht="15" hidden="false" customHeight="false" outlineLevel="0" collapsed="false">
      <c r="A274" s="8" t="n">
        <v>46217</v>
      </c>
      <c r="B274" s="9" t="n">
        <v>7</v>
      </c>
      <c r="C274" s="9" t="str">
        <f aca="false">"Unit "&amp;B274</f>
        <v>Unit 7</v>
      </c>
      <c r="D274" s="9"/>
      <c r="E274" s="9" t="n">
        <v>195</v>
      </c>
      <c r="F274" s="9" t="n">
        <v>0</v>
      </c>
      <c r="G274" s="9" t="n">
        <v>4.18</v>
      </c>
      <c r="H274" s="9" t="n">
        <v>0</v>
      </c>
      <c r="I274" s="9"/>
      <c r="J274" s="9"/>
      <c r="K274" s="9"/>
      <c r="L274" s="9" t="n">
        <f aca="false">E274*24/1000</f>
        <v>4.68</v>
      </c>
      <c r="M274" s="10" t="n">
        <f aca="false">G274/L274</f>
        <v>0.893162393162393</v>
      </c>
      <c r="N274" s="9" t="n">
        <f aca="false">G274-F274</f>
        <v>4.18</v>
      </c>
      <c r="O274" s="10" t="str">
        <f aca="false">IF(F274=0,"",G274/F274)</f>
        <v/>
      </c>
      <c r="P274" s="9" t="n">
        <f aca="false">IF(H274&gt;0,1,0)</f>
        <v>0</v>
      </c>
      <c r="Q274" s="9" t="n">
        <f aca="false">IF(G274=0,1,0)</f>
        <v>0</v>
      </c>
      <c r="R274" s="9" t="str">
        <f aca="false">TEXT(A274,"mmm")</f>
        <v>Jul</v>
      </c>
      <c r="S274" s="9" t="n">
        <f aca="false">WEEKNUM(A274,2)</f>
        <v>29</v>
      </c>
      <c r="T274" s="9" t="str">
        <f aca="false">IF(A274&lt;DATE(2026,6,30),"1-Pre-outage",IF(A274&lt;DATE(2026,7,5),"2-Transition","3-Outage-heavy"))</f>
        <v>3-Outage-heavy</v>
      </c>
      <c r="U274" s="9" t="str">
        <f aca="false">IF(K274="","",IF(ISNUMBER(SEARCH("TURBINE",K274)),"Turbine",IF(ISNUMBER(SEARCH("GENERATOR",K274)),"Generator",IF(ISNUMBER(SEARCH("BOILER",K274)),"Boiler",IF(ISNUMBER(SEARCH("AIR PREHEATER",K274)),"Auxiliary",IF(ISNUMBER(SEARCH("ELECTRICAL",K274)),"Electrical","Other"))))))</f>
        <v/>
      </c>
      <c r="V274" s="9" t="n">
        <f aca="false">AVERAGEIFS(G:G,B:B,B274,H:H,0)</f>
        <v>3.98375</v>
      </c>
      <c r="W274" s="9" t="n">
        <f aca="false">IF(P274=1,MAX(0,V274-G274),0)</f>
        <v>0</v>
      </c>
    </row>
    <row r="275" customFormat="false" ht="15" hidden="false" customHeight="false" outlineLevel="0" collapsed="false">
      <c r="A275" s="8" t="n">
        <v>46218</v>
      </c>
      <c r="B275" s="9" t="n">
        <v>1</v>
      </c>
      <c r="C275" s="9" t="str">
        <f aca="false">"Unit "&amp;B275</f>
        <v>Unit 1</v>
      </c>
      <c r="D275" s="9" t="s">
        <v>76</v>
      </c>
      <c r="E275" s="9" t="n">
        <v>110</v>
      </c>
      <c r="F275" s="9" t="n">
        <v>1.84</v>
      </c>
      <c r="G275" s="9" t="n">
        <v>0</v>
      </c>
      <c r="H275" s="9" t="n">
        <v>110</v>
      </c>
      <c r="I275" s="11" t="n">
        <v>46212.0006944445</v>
      </c>
      <c r="J275" s="9"/>
      <c r="K275" s="9" t="s">
        <v>90</v>
      </c>
      <c r="L275" s="9" t="n">
        <f aca="false">E275*24/1000</f>
        <v>2.64</v>
      </c>
      <c r="M275" s="10" t="n">
        <f aca="false">G275/L275</f>
        <v>0</v>
      </c>
      <c r="N275" s="9" t="n">
        <f aca="false">G275-F275</f>
        <v>-1.84</v>
      </c>
      <c r="O275" s="10" t="n">
        <f aca="false">IF(F275=0,"",G275/F275)</f>
        <v>0</v>
      </c>
      <c r="P275" s="9" t="n">
        <f aca="false">IF(H275&gt;0,1,0)</f>
        <v>1</v>
      </c>
      <c r="Q275" s="9" t="n">
        <f aca="false">IF(G275=0,1,0)</f>
        <v>1</v>
      </c>
      <c r="R275" s="9" t="str">
        <f aca="false">TEXT(A275,"mmm")</f>
        <v>Jul</v>
      </c>
      <c r="S275" s="9" t="n">
        <f aca="false">WEEKNUM(A275,2)</f>
        <v>29</v>
      </c>
      <c r="T275" s="9" t="str">
        <f aca="false">IF(A275&lt;DATE(2026,6,30),"1-Pre-outage",IF(A275&lt;DATE(2026,7,5),"2-Transition","3-Outage-heavy"))</f>
        <v>3-Outage-heavy</v>
      </c>
      <c r="U275" s="9" t="str">
        <f aca="false">IF(K275="","",IF(ISNUMBER(SEARCH("TURBINE",K275)),"Turbine",IF(ISNUMBER(SEARCH("GENERATOR",K275)),"Generator",IF(ISNUMBER(SEARCH("BOILER",K275)),"Boiler",IF(ISNUMBER(SEARCH("AIR PREHEATER",K275)),"Auxiliary",IF(ISNUMBER(SEARCH("ELECTRICAL",K275)),"Electrical","Other"))))))</f>
        <v>Generator</v>
      </c>
      <c r="V275" s="9" t="n">
        <f aca="false">AVERAGEIFS(G:G,B:B,B275,H:H,0)</f>
        <v>1.61181818181818</v>
      </c>
      <c r="W275" s="9" t="n">
        <f aca="false">IF(P275=1,MAX(0,V275-G275),0)</f>
        <v>1.61181818181818</v>
      </c>
    </row>
    <row r="276" customFormat="false" ht="15" hidden="false" customHeight="false" outlineLevel="0" collapsed="false">
      <c r="A276" s="8" t="n">
        <v>46218</v>
      </c>
      <c r="B276" s="9" t="n">
        <v>2</v>
      </c>
      <c r="C276" s="9" t="str">
        <f aca="false">"Unit "&amp;B276</f>
        <v>Unit 2</v>
      </c>
      <c r="D276" s="9"/>
      <c r="E276" s="9" t="n">
        <v>110</v>
      </c>
      <c r="F276" s="9" t="n">
        <v>1.87</v>
      </c>
      <c r="G276" s="9" t="n">
        <v>1.88</v>
      </c>
      <c r="H276" s="9" t="n">
        <v>0</v>
      </c>
      <c r="I276" s="9"/>
      <c r="J276" s="9"/>
      <c r="K276" s="9"/>
      <c r="L276" s="9" t="n">
        <f aca="false">E276*24/1000</f>
        <v>2.64</v>
      </c>
      <c r="M276" s="10" t="n">
        <f aca="false">G276/L276</f>
        <v>0.712121212121212</v>
      </c>
      <c r="N276" s="9" t="n">
        <f aca="false">G276-F276</f>
        <v>0.00999999999999979</v>
      </c>
      <c r="O276" s="10" t="n">
        <f aca="false">IF(F276=0,"",G276/F276)</f>
        <v>1.00534759358289</v>
      </c>
      <c r="P276" s="9" t="n">
        <f aca="false">IF(H276&gt;0,1,0)</f>
        <v>0</v>
      </c>
      <c r="Q276" s="9" t="n">
        <f aca="false">IF(G276=0,1,0)</f>
        <v>0</v>
      </c>
      <c r="R276" s="9" t="str">
        <f aca="false">TEXT(A276,"mmm")</f>
        <v>Jul</v>
      </c>
      <c r="S276" s="9" t="n">
        <f aca="false">WEEKNUM(A276,2)</f>
        <v>29</v>
      </c>
      <c r="T276" s="9" t="str">
        <f aca="false">IF(A276&lt;DATE(2026,6,30),"1-Pre-outage",IF(A276&lt;DATE(2026,7,5),"2-Transition","3-Outage-heavy"))</f>
        <v>3-Outage-heavy</v>
      </c>
      <c r="U276" s="9" t="str">
        <f aca="false">IF(K276="","",IF(ISNUMBER(SEARCH("TURBINE",K276)),"Turbine",IF(ISNUMBER(SEARCH("GENERATOR",K276)),"Generator",IF(ISNUMBER(SEARCH("BOILER",K276)),"Boiler",IF(ISNUMBER(SEARCH("AIR PREHEATER",K276)),"Auxiliary",IF(ISNUMBER(SEARCH("ELECTRICAL",K276)),"Electrical","Other"))))))</f>
        <v/>
      </c>
      <c r="V276" s="9" t="n">
        <f aca="false">AVERAGEIFS(G:G,B:B,B276,H:H,0)</f>
        <v>1.67955555555556</v>
      </c>
      <c r="W276" s="9" t="n">
        <f aca="false">IF(P276=1,MAX(0,V276-G276),0)</f>
        <v>0</v>
      </c>
    </row>
    <row r="277" customFormat="false" ht="15" hidden="false" customHeight="false" outlineLevel="0" collapsed="false">
      <c r="A277" s="8" t="n">
        <v>46218</v>
      </c>
      <c r="B277" s="9" t="n">
        <v>3</v>
      </c>
      <c r="C277" s="9" t="str">
        <f aca="false">"Unit "&amp;B277</f>
        <v>Unit 3</v>
      </c>
      <c r="D277" s="9"/>
      <c r="E277" s="9" t="n">
        <v>210</v>
      </c>
      <c r="F277" s="9" t="n">
        <v>3.67</v>
      </c>
      <c r="G277" s="9" t="n">
        <v>3.86</v>
      </c>
      <c r="H277" s="9" t="n">
        <v>0</v>
      </c>
      <c r="I277" s="9"/>
      <c r="J277" s="9"/>
      <c r="K277" s="9"/>
      <c r="L277" s="9" t="n">
        <f aca="false">E277*24/1000</f>
        <v>5.04</v>
      </c>
      <c r="M277" s="10" t="n">
        <f aca="false">G277/L277</f>
        <v>0.765873015873016</v>
      </c>
      <c r="N277" s="9" t="n">
        <f aca="false">G277-F277</f>
        <v>0.19</v>
      </c>
      <c r="O277" s="10" t="n">
        <f aca="false">IF(F277=0,"",G277/F277)</f>
        <v>1.05177111716621</v>
      </c>
      <c r="P277" s="9" t="n">
        <f aca="false">IF(H277&gt;0,1,0)</f>
        <v>0</v>
      </c>
      <c r="Q277" s="9" t="n">
        <f aca="false">IF(G277=0,1,0)</f>
        <v>0</v>
      </c>
      <c r="R277" s="9" t="str">
        <f aca="false">TEXT(A277,"mmm")</f>
        <v>Jul</v>
      </c>
      <c r="S277" s="9" t="n">
        <f aca="false">WEEKNUM(A277,2)</f>
        <v>29</v>
      </c>
      <c r="T277" s="9" t="str">
        <f aca="false">IF(A277&lt;DATE(2026,6,30),"1-Pre-outage",IF(A277&lt;DATE(2026,7,5),"2-Transition","3-Outage-heavy"))</f>
        <v>3-Outage-heavy</v>
      </c>
      <c r="U277" s="9" t="str">
        <f aca="false">IF(K277="","",IF(ISNUMBER(SEARCH("TURBINE",K277)),"Turbine",IF(ISNUMBER(SEARCH("GENERATOR",K277)),"Generator",IF(ISNUMBER(SEARCH("BOILER",K277)),"Boiler",IF(ISNUMBER(SEARCH("AIR PREHEATER",K277)),"Auxiliary",IF(ISNUMBER(SEARCH("ELECTRICAL",K277)),"Electrical","Other"))))))</f>
        <v/>
      </c>
      <c r="V277" s="9" t="n">
        <f aca="false">AVERAGEIFS(G:G,B:B,B277,H:H,0)</f>
        <v>3.72697674418605</v>
      </c>
      <c r="W277" s="9" t="n">
        <f aca="false">IF(P277=1,MAX(0,V277-G277),0)</f>
        <v>0</v>
      </c>
    </row>
    <row r="278" customFormat="false" ht="15" hidden="false" customHeight="false" outlineLevel="0" collapsed="false">
      <c r="A278" s="8" t="n">
        <v>46218</v>
      </c>
      <c r="B278" s="9" t="n">
        <v>4</v>
      </c>
      <c r="C278" s="9" t="str">
        <f aca="false">"Unit "&amp;B278</f>
        <v>Unit 4</v>
      </c>
      <c r="D278" s="9" t="s">
        <v>76</v>
      </c>
      <c r="E278" s="9" t="n">
        <v>210</v>
      </c>
      <c r="F278" s="9" t="n">
        <v>0</v>
      </c>
      <c r="G278" s="9" t="n">
        <v>0.56</v>
      </c>
      <c r="H278" s="9" t="n">
        <v>210</v>
      </c>
      <c r="I278" s="11" t="n">
        <v>46218.9659722222</v>
      </c>
      <c r="J278" s="9"/>
      <c r="K278" s="9" t="s">
        <v>97</v>
      </c>
      <c r="L278" s="9" t="n">
        <f aca="false">E278*24/1000</f>
        <v>5.04</v>
      </c>
      <c r="M278" s="10" t="n">
        <f aca="false">G278/L278</f>
        <v>0.111111111111111</v>
      </c>
      <c r="N278" s="9" t="n">
        <f aca="false">G278-F278</f>
        <v>0.56</v>
      </c>
      <c r="O278" s="10" t="str">
        <f aca="false">IF(F278=0,"",G278/F278)</f>
        <v/>
      </c>
      <c r="P278" s="9" t="n">
        <f aca="false">IF(H278&gt;0,1,0)</f>
        <v>1</v>
      </c>
      <c r="Q278" s="9" t="n">
        <f aca="false">IF(G278=0,1,0)</f>
        <v>0</v>
      </c>
      <c r="R278" s="9" t="str">
        <f aca="false">TEXT(A278,"mmm")</f>
        <v>Jul</v>
      </c>
      <c r="S278" s="9" t="n">
        <f aca="false">WEEKNUM(A278,2)</f>
        <v>29</v>
      </c>
      <c r="T278" s="9" t="str">
        <f aca="false">IF(A278&lt;DATE(2026,6,30),"1-Pre-outage",IF(A278&lt;DATE(2026,7,5),"2-Transition","3-Outage-heavy"))</f>
        <v>3-Outage-heavy</v>
      </c>
      <c r="U278" s="9" t="str">
        <f aca="false">IF(K278="","",IF(ISNUMBER(SEARCH("TURBINE",K278)),"Turbine",IF(ISNUMBER(SEARCH("GENERATOR",K278)),"Generator",IF(ISNUMBER(SEARCH("BOILER",K278)),"Boiler",IF(ISNUMBER(SEARCH("AIR PREHEATER",K278)),"Auxiliary",IF(ISNUMBER(SEARCH("ELECTRICAL",K278)),"Electrical","Other"))))))</f>
        <v>Turbine</v>
      </c>
      <c r="V278" s="9" t="n">
        <f aca="false">AVERAGEIFS(G:G,B:B,B278,H:H,0)</f>
        <v>3.53586206896552</v>
      </c>
      <c r="W278" s="9" t="n">
        <f aca="false">IF(P278=1,MAX(0,V278-G278),0)</f>
        <v>2.97586206896552</v>
      </c>
    </row>
    <row r="279" customFormat="false" ht="15" hidden="false" customHeight="false" outlineLevel="0" collapsed="false">
      <c r="A279" s="8" t="n">
        <v>46218</v>
      </c>
      <c r="B279" s="9" t="n">
        <v>5</v>
      </c>
      <c r="C279" s="9" t="str">
        <f aca="false">"Unit "&amp;B279</f>
        <v>Unit 5</v>
      </c>
      <c r="D279" s="9"/>
      <c r="E279" s="9" t="n">
        <v>210</v>
      </c>
      <c r="F279" s="9" t="n">
        <v>3.81</v>
      </c>
      <c r="G279" s="9" t="n">
        <v>4.16</v>
      </c>
      <c r="H279" s="9" t="n">
        <v>0</v>
      </c>
      <c r="I279" s="9"/>
      <c r="J279" s="9"/>
      <c r="K279" s="9"/>
      <c r="L279" s="9" t="n">
        <f aca="false">E279*24/1000</f>
        <v>5.04</v>
      </c>
      <c r="M279" s="10" t="n">
        <f aca="false">G279/L279</f>
        <v>0.825396825396826</v>
      </c>
      <c r="N279" s="9" t="n">
        <f aca="false">G279-F279</f>
        <v>0.35</v>
      </c>
      <c r="O279" s="10" t="n">
        <f aca="false">IF(F279=0,"",G279/F279)</f>
        <v>1.09186351706037</v>
      </c>
      <c r="P279" s="9" t="n">
        <f aca="false">IF(H279&gt;0,1,0)</f>
        <v>0</v>
      </c>
      <c r="Q279" s="9" t="n">
        <f aca="false">IF(G279=0,1,0)</f>
        <v>0</v>
      </c>
      <c r="R279" s="9" t="str">
        <f aca="false">TEXT(A279,"mmm")</f>
        <v>Jul</v>
      </c>
      <c r="S279" s="9" t="n">
        <f aca="false">WEEKNUM(A279,2)</f>
        <v>29</v>
      </c>
      <c r="T279" s="9" t="str">
        <f aca="false">IF(A279&lt;DATE(2026,6,30),"1-Pre-outage",IF(A279&lt;DATE(2026,7,5),"2-Transition","3-Outage-heavy"))</f>
        <v>3-Outage-heavy</v>
      </c>
      <c r="U279" s="9" t="str">
        <f aca="false">IF(K279="","",IF(ISNUMBER(SEARCH("TURBINE",K279)),"Turbine",IF(ISNUMBER(SEARCH("GENERATOR",K279)),"Generator",IF(ISNUMBER(SEARCH("BOILER",K279)),"Boiler",IF(ISNUMBER(SEARCH("AIR PREHEATER",K279)),"Auxiliary",IF(ISNUMBER(SEARCH("ELECTRICAL",K279)),"Electrical","Other"))))))</f>
        <v/>
      </c>
      <c r="V279" s="9" t="n">
        <f aca="false">AVERAGEIFS(G:G,B:B,B279,H:H,0)</f>
        <v>3.98888888888889</v>
      </c>
      <c r="W279" s="9" t="n">
        <f aca="false">IF(P279=1,MAX(0,V279-G279),0)</f>
        <v>0</v>
      </c>
    </row>
    <row r="280" customFormat="false" ht="15" hidden="false" customHeight="false" outlineLevel="0" collapsed="false">
      <c r="A280" s="8" t="n">
        <v>46218</v>
      </c>
      <c r="B280" s="9" t="n">
        <v>6</v>
      </c>
      <c r="C280" s="9" t="str">
        <f aca="false">"Unit "&amp;B280</f>
        <v>Unit 6</v>
      </c>
      <c r="D280" s="9"/>
      <c r="E280" s="9" t="n">
        <v>195</v>
      </c>
      <c r="F280" s="9" t="n">
        <v>3.84</v>
      </c>
      <c r="G280" s="9" t="n">
        <v>3.85</v>
      </c>
      <c r="H280" s="9" t="n">
        <v>0</v>
      </c>
      <c r="I280" s="9"/>
      <c r="J280" s="9"/>
      <c r="K280" s="9"/>
      <c r="L280" s="9" t="n">
        <f aca="false">E280*24/1000</f>
        <v>4.68</v>
      </c>
      <c r="M280" s="10" t="n">
        <f aca="false">G280/L280</f>
        <v>0.822649572649573</v>
      </c>
      <c r="N280" s="9" t="n">
        <f aca="false">G280-F280</f>
        <v>0.0100000000000002</v>
      </c>
      <c r="O280" s="10" t="n">
        <f aca="false">IF(F280=0,"",G280/F280)</f>
        <v>1.00260416666667</v>
      </c>
      <c r="P280" s="9" t="n">
        <f aca="false">IF(H280&gt;0,1,0)</f>
        <v>0</v>
      </c>
      <c r="Q280" s="9" t="n">
        <f aca="false">IF(G280=0,1,0)</f>
        <v>0</v>
      </c>
      <c r="R280" s="9" t="str">
        <f aca="false">TEXT(A280,"mmm")</f>
        <v>Jul</v>
      </c>
      <c r="S280" s="9" t="n">
        <f aca="false">WEEKNUM(A280,2)</f>
        <v>29</v>
      </c>
      <c r="T280" s="9" t="str">
        <f aca="false">IF(A280&lt;DATE(2026,6,30),"1-Pre-outage",IF(A280&lt;DATE(2026,7,5),"2-Transition","3-Outage-heavy"))</f>
        <v>3-Outage-heavy</v>
      </c>
      <c r="U280" s="9" t="str">
        <f aca="false">IF(K280="","",IF(ISNUMBER(SEARCH("TURBINE",K280)),"Turbine",IF(ISNUMBER(SEARCH("GENERATOR",K280)),"Generator",IF(ISNUMBER(SEARCH("BOILER",K280)),"Boiler",IF(ISNUMBER(SEARCH("AIR PREHEATER",K280)),"Auxiliary",IF(ISNUMBER(SEARCH("ELECTRICAL",K280)),"Electrical","Other"))))))</f>
        <v/>
      </c>
      <c r="V280" s="9" t="n">
        <f aca="false">AVERAGEIFS(G:G,B:B,B280,H:H,0)</f>
        <v>3.85377777777778</v>
      </c>
      <c r="W280" s="9" t="n">
        <f aca="false">IF(P280=1,MAX(0,V280-G280),0)</f>
        <v>0</v>
      </c>
    </row>
    <row r="281" customFormat="false" ht="15" hidden="false" customHeight="false" outlineLevel="0" collapsed="false">
      <c r="A281" s="8" t="n">
        <v>46218</v>
      </c>
      <c r="B281" s="9" t="n">
        <v>7</v>
      </c>
      <c r="C281" s="9" t="str">
        <f aca="false">"Unit "&amp;B281</f>
        <v>Unit 7</v>
      </c>
      <c r="D281" s="9" t="s">
        <v>76</v>
      </c>
      <c r="E281" s="9" t="n">
        <v>195</v>
      </c>
      <c r="F281" s="9" t="n">
        <v>0</v>
      </c>
      <c r="G281" s="9" t="n">
        <v>3.27</v>
      </c>
      <c r="H281" s="9" t="n">
        <v>195</v>
      </c>
      <c r="I281" s="11" t="n">
        <v>46218.7986111111</v>
      </c>
      <c r="J281" s="9"/>
      <c r="K281" s="9" t="s">
        <v>98</v>
      </c>
      <c r="L281" s="9" t="n">
        <f aca="false">E281*24/1000</f>
        <v>4.68</v>
      </c>
      <c r="M281" s="10" t="n">
        <f aca="false">G281/L281</f>
        <v>0.698717948717949</v>
      </c>
      <c r="N281" s="9" t="n">
        <f aca="false">G281-F281</f>
        <v>3.27</v>
      </c>
      <c r="O281" s="10" t="str">
        <f aca="false">IF(F281=0,"",G281/F281)</f>
        <v/>
      </c>
      <c r="P281" s="9" t="n">
        <f aca="false">IF(H281&gt;0,1,0)</f>
        <v>1</v>
      </c>
      <c r="Q281" s="9" t="n">
        <f aca="false">IF(G281=0,1,0)</f>
        <v>0</v>
      </c>
      <c r="R281" s="9" t="str">
        <f aca="false">TEXT(A281,"mmm")</f>
        <v>Jul</v>
      </c>
      <c r="S281" s="9" t="n">
        <f aca="false">WEEKNUM(A281,2)</f>
        <v>29</v>
      </c>
      <c r="T281" s="9" t="str">
        <f aca="false">IF(A281&lt;DATE(2026,6,30),"1-Pre-outage",IF(A281&lt;DATE(2026,7,5),"2-Transition","3-Outage-heavy"))</f>
        <v>3-Outage-heavy</v>
      </c>
      <c r="U281" s="9" t="str">
        <f aca="false">IF(K281="","",IF(ISNUMBER(SEARCH("TURBINE",K281)),"Turbine",IF(ISNUMBER(SEARCH("GENERATOR",K281)),"Generator",IF(ISNUMBER(SEARCH("BOILER",K281)),"Boiler",IF(ISNUMBER(SEARCH("AIR PREHEATER",K281)),"Auxiliary",IF(ISNUMBER(SEARCH("ELECTRICAL",K281)),"Electrical","Other"))))))</f>
        <v>Boiler</v>
      </c>
      <c r="V281" s="9" t="n">
        <f aca="false">AVERAGEIFS(G:G,B:B,B281,H:H,0)</f>
        <v>3.98375</v>
      </c>
      <c r="W281" s="9" t="n">
        <f aca="false">IF(P281=1,MAX(0,V281-G281),0)</f>
        <v>0.71375</v>
      </c>
    </row>
    <row r="282" customFormat="false" ht="15" hidden="false" customHeight="false" outlineLevel="0" collapsed="false">
      <c r="A282" s="8" t="n">
        <v>46219</v>
      </c>
      <c r="B282" s="9" t="n">
        <v>1</v>
      </c>
      <c r="C282" s="9" t="str">
        <f aca="false">"Unit "&amp;B282</f>
        <v>Unit 1</v>
      </c>
      <c r="D282" s="9" t="s">
        <v>76</v>
      </c>
      <c r="E282" s="9" t="n">
        <v>110</v>
      </c>
      <c r="F282" s="9" t="n">
        <v>1.84</v>
      </c>
      <c r="G282" s="9" t="n">
        <v>0</v>
      </c>
      <c r="H282" s="9" t="n">
        <v>110</v>
      </c>
      <c r="I282" s="11" t="n">
        <v>46212.0006944445</v>
      </c>
      <c r="J282" s="9"/>
      <c r="K282" s="9" t="s">
        <v>90</v>
      </c>
      <c r="L282" s="9" t="n">
        <f aca="false">E282*24/1000</f>
        <v>2.64</v>
      </c>
      <c r="M282" s="10" t="n">
        <f aca="false">G282/L282</f>
        <v>0</v>
      </c>
      <c r="N282" s="9" t="n">
        <f aca="false">G282-F282</f>
        <v>-1.84</v>
      </c>
      <c r="O282" s="10" t="n">
        <f aca="false">IF(F282=0,"",G282/F282)</f>
        <v>0</v>
      </c>
      <c r="P282" s="9" t="n">
        <f aca="false">IF(H282&gt;0,1,0)</f>
        <v>1</v>
      </c>
      <c r="Q282" s="9" t="n">
        <f aca="false">IF(G282=0,1,0)</f>
        <v>1</v>
      </c>
      <c r="R282" s="9" t="str">
        <f aca="false">TEXT(A282,"mmm")</f>
        <v>Jul</v>
      </c>
      <c r="S282" s="9" t="n">
        <f aca="false">WEEKNUM(A282,2)</f>
        <v>29</v>
      </c>
      <c r="T282" s="9" t="str">
        <f aca="false">IF(A282&lt;DATE(2026,6,30),"1-Pre-outage",IF(A282&lt;DATE(2026,7,5),"2-Transition","3-Outage-heavy"))</f>
        <v>3-Outage-heavy</v>
      </c>
      <c r="U282" s="9" t="str">
        <f aca="false">IF(K282="","",IF(ISNUMBER(SEARCH("TURBINE",K282)),"Turbine",IF(ISNUMBER(SEARCH("GENERATOR",K282)),"Generator",IF(ISNUMBER(SEARCH("BOILER",K282)),"Boiler",IF(ISNUMBER(SEARCH("AIR PREHEATER",K282)),"Auxiliary",IF(ISNUMBER(SEARCH("ELECTRICAL",K282)),"Electrical","Other"))))))</f>
        <v>Generator</v>
      </c>
      <c r="V282" s="9" t="n">
        <f aca="false">AVERAGEIFS(G:G,B:B,B282,H:H,0)</f>
        <v>1.61181818181818</v>
      </c>
      <c r="W282" s="9" t="n">
        <f aca="false">IF(P282=1,MAX(0,V282-G282),0)</f>
        <v>1.61181818181818</v>
      </c>
    </row>
    <row r="283" customFormat="false" ht="15" hidden="false" customHeight="false" outlineLevel="0" collapsed="false">
      <c r="A283" s="8" t="n">
        <v>46219</v>
      </c>
      <c r="B283" s="9" t="n">
        <v>2</v>
      </c>
      <c r="C283" s="9" t="str">
        <f aca="false">"Unit "&amp;B283</f>
        <v>Unit 2</v>
      </c>
      <c r="D283" s="9"/>
      <c r="E283" s="9" t="n">
        <v>110</v>
      </c>
      <c r="F283" s="9" t="n">
        <v>1.87</v>
      </c>
      <c r="G283" s="9" t="n">
        <v>1.93</v>
      </c>
      <c r="H283" s="9" t="n">
        <v>0</v>
      </c>
      <c r="I283" s="9"/>
      <c r="J283" s="9"/>
      <c r="K283" s="9"/>
      <c r="L283" s="9" t="n">
        <f aca="false">E283*24/1000</f>
        <v>2.64</v>
      </c>
      <c r="M283" s="10" t="n">
        <f aca="false">G283/L283</f>
        <v>0.731060606060606</v>
      </c>
      <c r="N283" s="9" t="n">
        <f aca="false">G283-F283</f>
        <v>0.0599999999999998</v>
      </c>
      <c r="O283" s="10" t="n">
        <f aca="false">IF(F283=0,"",G283/F283)</f>
        <v>1.03208556149733</v>
      </c>
      <c r="P283" s="9" t="n">
        <f aca="false">IF(H283&gt;0,1,0)</f>
        <v>0</v>
      </c>
      <c r="Q283" s="9" t="n">
        <f aca="false">IF(G283=0,1,0)</f>
        <v>0</v>
      </c>
      <c r="R283" s="9" t="str">
        <f aca="false">TEXT(A283,"mmm")</f>
        <v>Jul</v>
      </c>
      <c r="S283" s="9" t="n">
        <f aca="false">WEEKNUM(A283,2)</f>
        <v>29</v>
      </c>
      <c r="T283" s="9" t="str">
        <f aca="false">IF(A283&lt;DATE(2026,6,30),"1-Pre-outage",IF(A283&lt;DATE(2026,7,5),"2-Transition","3-Outage-heavy"))</f>
        <v>3-Outage-heavy</v>
      </c>
      <c r="U283" s="9" t="str">
        <f aca="false">IF(K283="","",IF(ISNUMBER(SEARCH("TURBINE",K283)),"Turbine",IF(ISNUMBER(SEARCH("GENERATOR",K283)),"Generator",IF(ISNUMBER(SEARCH("BOILER",K283)),"Boiler",IF(ISNUMBER(SEARCH("AIR PREHEATER",K283)),"Auxiliary",IF(ISNUMBER(SEARCH("ELECTRICAL",K283)),"Electrical","Other"))))))</f>
        <v/>
      </c>
      <c r="V283" s="9" t="n">
        <f aca="false">AVERAGEIFS(G:G,B:B,B283,H:H,0)</f>
        <v>1.67955555555556</v>
      </c>
      <c r="W283" s="9" t="n">
        <f aca="false">IF(P283=1,MAX(0,V283-G283),0)</f>
        <v>0</v>
      </c>
    </row>
    <row r="284" customFormat="false" ht="15" hidden="false" customHeight="false" outlineLevel="0" collapsed="false">
      <c r="A284" s="8" t="n">
        <v>46219</v>
      </c>
      <c r="B284" s="9" t="n">
        <v>3</v>
      </c>
      <c r="C284" s="9" t="str">
        <f aca="false">"Unit "&amp;B284</f>
        <v>Unit 3</v>
      </c>
      <c r="D284" s="9"/>
      <c r="E284" s="9" t="n">
        <v>210</v>
      </c>
      <c r="F284" s="9" t="n">
        <v>0</v>
      </c>
      <c r="G284" s="9" t="n">
        <v>4</v>
      </c>
      <c r="H284" s="9" t="n">
        <v>0</v>
      </c>
      <c r="I284" s="9"/>
      <c r="J284" s="9"/>
      <c r="K284" s="9"/>
      <c r="L284" s="9" t="n">
        <f aca="false">E284*24/1000</f>
        <v>5.04</v>
      </c>
      <c r="M284" s="10" t="n">
        <f aca="false">G284/L284</f>
        <v>0.793650793650794</v>
      </c>
      <c r="N284" s="9" t="n">
        <f aca="false">G284-F284</f>
        <v>4</v>
      </c>
      <c r="O284" s="10" t="str">
        <f aca="false">IF(F284=0,"",G284/F284)</f>
        <v/>
      </c>
      <c r="P284" s="9" t="n">
        <f aca="false">IF(H284&gt;0,1,0)</f>
        <v>0</v>
      </c>
      <c r="Q284" s="9" t="n">
        <f aca="false">IF(G284=0,1,0)</f>
        <v>0</v>
      </c>
      <c r="R284" s="9" t="str">
        <f aca="false">TEXT(A284,"mmm")</f>
        <v>Jul</v>
      </c>
      <c r="S284" s="9" t="n">
        <f aca="false">WEEKNUM(A284,2)</f>
        <v>29</v>
      </c>
      <c r="T284" s="9" t="str">
        <f aca="false">IF(A284&lt;DATE(2026,6,30),"1-Pre-outage",IF(A284&lt;DATE(2026,7,5),"2-Transition","3-Outage-heavy"))</f>
        <v>3-Outage-heavy</v>
      </c>
      <c r="U284" s="9" t="str">
        <f aca="false">IF(K284="","",IF(ISNUMBER(SEARCH("TURBINE",K284)),"Turbine",IF(ISNUMBER(SEARCH("GENERATOR",K284)),"Generator",IF(ISNUMBER(SEARCH("BOILER",K284)),"Boiler",IF(ISNUMBER(SEARCH("AIR PREHEATER",K284)),"Auxiliary",IF(ISNUMBER(SEARCH("ELECTRICAL",K284)),"Electrical","Other"))))))</f>
        <v/>
      </c>
      <c r="V284" s="9" t="n">
        <f aca="false">AVERAGEIFS(G:G,B:B,B284,H:H,0)</f>
        <v>3.72697674418605</v>
      </c>
      <c r="W284" s="9" t="n">
        <f aca="false">IF(P284=1,MAX(0,V284-G284),0)</f>
        <v>0</v>
      </c>
    </row>
    <row r="285" customFormat="false" ht="15" hidden="false" customHeight="false" outlineLevel="0" collapsed="false">
      <c r="A285" s="8" t="n">
        <v>46219</v>
      </c>
      <c r="B285" s="9" t="n">
        <v>4</v>
      </c>
      <c r="C285" s="9" t="str">
        <f aca="false">"Unit "&amp;B285</f>
        <v>Unit 4</v>
      </c>
      <c r="D285" s="9" t="s">
        <v>76</v>
      </c>
      <c r="E285" s="9" t="n">
        <v>210</v>
      </c>
      <c r="F285" s="9" t="n">
        <v>0</v>
      </c>
      <c r="G285" s="9" t="n">
        <v>0.25</v>
      </c>
      <c r="H285" s="9" t="n">
        <v>210</v>
      </c>
      <c r="I285" s="11" t="n">
        <v>46219.9576388889</v>
      </c>
      <c r="J285" s="9"/>
      <c r="K285" s="9" t="s">
        <v>84</v>
      </c>
      <c r="L285" s="9" t="n">
        <f aca="false">E285*24/1000</f>
        <v>5.04</v>
      </c>
      <c r="M285" s="10" t="n">
        <f aca="false">G285/L285</f>
        <v>0.0496031746031746</v>
      </c>
      <c r="N285" s="9" t="n">
        <f aca="false">G285-F285</f>
        <v>0.25</v>
      </c>
      <c r="O285" s="10" t="str">
        <f aca="false">IF(F285=0,"",G285/F285)</f>
        <v/>
      </c>
      <c r="P285" s="9" t="n">
        <f aca="false">IF(H285&gt;0,1,0)</f>
        <v>1</v>
      </c>
      <c r="Q285" s="9" t="n">
        <f aca="false">IF(G285=0,1,0)</f>
        <v>0</v>
      </c>
      <c r="R285" s="9" t="str">
        <f aca="false">TEXT(A285,"mmm")</f>
        <v>Jul</v>
      </c>
      <c r="S285" s="9" t="n">
        <f aca="false">WEEKNUM(A285,2)</f>
        <v>29</v>
      </c>
      <c r="T285" s="9" t="str">
        <f aca="false">IF(A285&lt;DATE(2026,6,30),"1-Pre-outage",IF(A285&lt;DATE(2026,7,5),"2-Transition","3-Outage-heavy"))</f>
        <v>3-Outage-heavy</v>
      </c>
      <c r="U285" s="9" t="str">
        <f aca="false">IF(K285="","",IF(ISNUMBER(SEARCH("TURBINE",K285)),"Turbine",IF(ISNUMBER(SEARCH("GENERATOR",K285)),"Generator",IF(ISNUMBER(SEARCH("BOILER",K285)),"Boiler",IF(ISNUMBER(SEARCH("AIR PREHEATER",K285)),"Auxiliary",IF(ISNUMBER(SEARCH("ELECTRICAL",K285)),"Electrical","Other"))))))</f>
        <v>Turbine</v>
      </c>
      <c r="V285" s="9" t="n">
        <f aca="false">AVERAGEIFS(G:G,B:B,B285,H:H,0)</f>
        <v>3.53586206896552</v>
      </c>
      <c r="W285" s="9" t="n">
        <f aca="false">IF(P285=1,MAX(0,V285-G285),0)</f>
        <v>3.28586206896552</v>
      </c>
    </row>
    <row r="286" customFormat="false" ht="15" hidden="false" customHeight="false" outlineLevel="0" collapsed="false">
      <c r="A286" s="8" t="n">
        <v>46219</v>
      </c>
      <c r="B286" s="9" t="n">
        <v>5</v>
      </c>
      <c r="C286" s="9" t="str">
        <f aca="false">"Unit "&amp;B286</f>
        <v>Unit 5</v>
      </c>
      <c r="D286" s="9"/>
      <c r="E286" s="9" t="n">
        <v>210</v>
      </c>
      <c r="F286" s="9" t="n">
        <v>3.81</v>
      </c>
      <c r="G286" s="9" t="n">
        <v>4.41</v>
      </c>
      <c r="H286" s="9" t="n">
        <v>0</v>
      </c>
      <c r="I286" s="9"/>
      <c r="J286" s="9"/>
      <c r="K286" s="9"/>
      <c r="L286" s="9" t="n">
        <f aca="false">E286*24/1000</f>
        <v>5.04</v>
      </c>
      <c r="M286" s="10" t="n">
        <f aca="false">G286/L286</f>
        <v>0.875</v>
      </c>
      <c r="N286" s="9" t="n">
        <f aca="false">G286-F286</f>
        <v>0.6</v>
      </c>
      <c r="O286" s="10" t="n">
        <f aca="false">IF(F286=0,"",G286/F286)</f>
        <v>1.15748031496063</v>
      </c>
      <c r="P286" s="9" t="n">
        <f aca="false">IF(H286&gt;0,1,0)</f>
        <v>0</v>
      </c>
      <c r="Q286" s="9" t="n">
        <f aca="false">IF(G286=0,1,0)</f>
        <v>0</v>
      </c>
      <c r="R286" s="9" t="str">
        <f aca="false">TEXT(A286,"mmm")</f>
        <v>Jul</v>
      </c>
      <c r="S286" s="9" t="n">
        <f aca="false">WEEKNUM(A286,2)</f>
        <v>29</v>
      </c>
      <c r="T286" s="9" t="str">
        <f aca="false">IF(A286&lt;DATE(2026,6,30),"1-Pre-outage",IF(A286&lt;DATE(2026,7,5),"2-Transition","3-Outage-heavy"))</f>
        <v>3-Outage-heavy</v>
      </c>
      <c r="U286" s="9" t="str">
        <f aca="false">IF(K286="","",IF(ISNUMBER(SEARCH("TURBINE",K286)),"Turbine",IF(ISNUMBER(SEARCH("GENERATOR",K286)),"Generator",IF(ISNUMBER(SEARCH("BOILER",K286)),"Boiler",IF(ISNUMBER(SEARCH("AIR PREHEATER",K286)),"Auxiliary",IF(ISNUMBER(SEARCH("ELECTRICAL",K286)),"Electrical","Other"))))))</f>
        <v/>
      </c>
      <c r="V286" s="9" t="n">
        <f aca="false">AVERAGEIFS(G:G,B:B,B286,H:H,0)</f>
        <v>3.98888888888889</v>
      </c>
      <c r="W286" s="9" t="n">
        <f aca="false">IF(P286=1,MAX(0,V286-G286),0)</f>
        <v>0</v>
      </c>
    </row>
    <row r="287" customFormat="false" ht="15" hidden="false" customHeight="false" outlineLevel="0" collapsed="false">
      <c r="A287" s="8" t="n">
        <v>46219</v>
      </c>
      <c r="B287" s="9" t="n">
        <v>6</v>
      </c>
      <c r="C287" s="9" t="str">
        <f aca="false">"Unit "&amp;B287</f>
        <v>Unit 6</v>
      </c>
      <c r="D287" s="9"/>
      <c r="E287" s="9" t="n">
        <v>195</v>
      </c>
      <c r="F287" s="9" t="n">
        <v>3.84</v>
      </c>
      <c r="G287" s="9" t="n">
        <v>3.84</v>
      </c>
      <c r="H287" s="9" t="n">
        <v>0</v>
      </c>
      <c r="I287" s="9"/>
      <c r="J287" s="9"/>
      <c r="K287" s="9"/>
      <c r="L287" s="9" t="n">
        <f aca="false">E287*24/1000</f>
        <v>4.68</v>
      </c>
      <c r="M287" s="10" t="n">
        <f aca="false">G287/L287</f>
        <v>0.820512820512821</v>
      </c>
      <c r="N287" s="9" t="n">
        <f aca="false">G287-F287</f>
        <v>0</v>
      </c>
      <c r="O287" s="10" t="n">
        <f aca="false">IF(F287=0,"",G287/F287)</f>
        <v>1</v>
      </c>
      <c r="P287" s="9" t="n">
        <f aca="false">IF(H287&gt;0,1,0)</f>
        <v>0</v>
      </c>
      <c r="Q287" s="9" t="n">
        <f aca="false">IF(G287=0,1,0)</f>
        <v>0</v>
      </c>
      <c r="R287" s="9" t="str">
        <f aca="false">TEXT(A287,"mmm")</f>
        <v>Jul</v>
      </c>
      <c r="S287" s="9" t="n">
        <f aca="false">WEEKNUM(A287,2)</f>
        <v>29</v>
      </c>
      <c r="T287" s="9" t="str">
        <f aca="false">IF(A287&lt;DATE(2026,6,30),"1-Pre-outage",IF(A287&lt;DATE(2026,7,5),"2-Transition","3-Outage-heavy"))</f>
        <v>3-Outage-heavy</v>
      </c>
      <c r="U287" s="9" t="str">
        <f aca="false">IF(K287="","",IF(ISNUMBER(SEARCH("TURBINE",K287)),"Turbine",IF(ISNUMBER(SEARCH("GENERATOR",K287)),"Generator",IF(ISNUMBER(SEARCH("BOILER",K287)),"Boiler",IF(ISNUMBER(SEARCH("AIR PREHEATER",K287)),"Auxiliary",IF(ISNUMBER(SEARCH("ELECTRICAL",K287)),"Electrical","Other"))))))</f>
        <v/>
      </c>
      <c r="V287" s="9" t="n">
        <f aca="false">AVERAGEIFS(G:G,B:B,B287,H:H,0)</f>
        <v>3.85377777777778</v>
      </c>
      <c r="W287" s="9" t="n">
        <f aca="false">IF(P287=1,MAX(0,V287-G287),0)</f>
        <v>0</v>
      </c>
    </row>
    <row r="288" customFormat="false" ht="15" hidden="false" customHeight="false" outlineLevel="0" collapsed="false">
      <c r="A288" s="8" t="n">
        <v>46219</v>
      </c>
      <c r="B288" s="9" t="n">
        <v>7</v>
      </c>
      <c r="C288" s="9" t="str">
        <f aca="false">"Unit "&amp;B288</f>
        <v>Unit 7</v>
      </c>
      <c r="D288" s="9" t="s">
        <v>76</v>
      </c>
      <c r="E288" s="9" t="n">
        <v>195</v>
      </c>
      <c r="F288" s="9" t="n">
        <v>0</v>
      </c>
      <c r="G288" s="9" t="n">
        <v>0</v>
      </c>
      <c r="H288" s="9" t="n">
        <v>195</v>
      </c>
      <c r="I288" s="11" t="n">
        <v>46218.7986111111</v>
      </c>
      <c r="J288" s="9"/>
      <c r="K288" s="9" t="s">
        <v>98</v>
      </c>
      <c r="L288" s="9" t="n">
        <f aca="false">E288*24/1000</f>
        <v>4.68</v>
      </c>
      <c r="M288" s="10" t="n">
        <f aca="false">G288/L288</f>
        <v>0</v>
      </c>
      <c r="N288" s="9" t="n">
        <f aca="false">G288-F288</f>
        <v>0</v>
      </c>
      <c r="O288" s="10" t="str">
        <f aca="false">IF(F288=0,"",G288/F288)</f>
        <v/>
      </c>
      <c r="P288" s="9" t="n">
        <f aca="false">IF(H288&gt;0,1,0)</f>
        <v>1</v>
      </c>
      <c r="Q288" s="9" t="n">
        <f aca="false">IF(G288=0,1,0)</f>
        <v>1</v>
      </c>
      <c r="R288" s="9" t="str">
        <f aca="false">TEXT(A288,"mmm")</f>
        <v>Jul</v>
      </c>
      <c r="S288" s="9" t="n">
        <f aca="false">WEEKNUM(A288,2)</f>
        <v>29</v>
      </c>
      <c r="T288" s="9" t="str">
        <f aca="false">IF(A288&lt;DATE(2026,6,30),"1-Pre-outage",IF(A288&lt;DATE(2026,7,5),"2-Transition","3-Outage-heavy"))</f>
        <v>3-Outage-heavy</v>
      </c>
      <c r="U288" s="9" t="str">
        <f aca="false">IF(K288="","",IF(ISNUMBER(SEARCH("TURBINE",K288)),"Turbine",IF(ISNUMBER(SEARCH("GENERATOR",K288)),"Generator",IF(ISNUMBER(SEARCH("BOILER",K288)),"Boiler",IF(ISNUMBER(SEARCH("AIR PREHEATER",K288)),"Auxiliary",IF(ISNUMBER(SEARCH("ELECTRICAL",K288)),"Electrical","Other"))))))</f>
        <v>Boiler</v>
      </c>
      <c r="V288" s="9" t="n">
        <f aca="false">AVERAGEIFS(G:G,B:B,B288,H:H,0)</f>
        <v>3.98375</v>
      </c>
      <c r="W288" s="9" t="n">
        <f aca="false">IF(P288=1,MAX(0,V288-G288),0)</f>
        <v>3.98375</v>
      </c>
    </row>
    <row r="289" customFormat="false" ht="15" hidden="false" customHeight="false" outlineLevel="0" collapsed="false">
      <c r="A289" s="8" t="n">
        <v>46220</v>
      </c>
      <c r="B289" s="9" t="n">
        <v>1</v>
      </c>
      <c r="C289" s="9" t="str">
        <f aca="false">"Unit "&amp;B289</f>
        <v>Unit 1</v>
      </c>
      <c r="D289" s="9" t="s">
        <v>76</v>
      </c>
      <c r="E289" s="9" t="n">
        <v>110</v>
      </c>
      <c r="F289" s="9" t="n">
        <v>1.84</v>
      </c>
      <c r="G289" s="9" t="n">
        <v>0</v>
      </c>
      <c r="H289" s="9" t="n">
        <v>110</v>
      </c>
      <c r="I289" s="11" t="n">
        <v>46212.0006944445</v>
      </c>
      <c r="J289" s="9"/>
      <c r="K289" s="9" t="s">
        <v>90</v>
      </c>
      <c r="L289" s="9" t="n">
        <f aca="false">E289*24/1000</f>
        <v>2.64</v>
      </c>
      <c r="M289" s="10" t="n">
        <f aca="false">G289/L289</f>
        <v>0</v>
      </c>
      <c r="N289" s="9" t="n">
        <f aca="false">G289-F289</f>
        <v>-1.84</v>
      </c>
      <c r="O289" s="10" t="n">
        <f aca="false">IF(F289=0,"",G289/F289)</f>
        <v>0</v>
      </c>
      <c r="P289" s="9" t="n">
        <f aca="false">IF(H289&gt;0,1,0)</f>
        <v>1</v>
      </c>
      <c r="Q289" s="9" t="n">
        <f aca="false">IF(G289=0,1,0)</f>
        <v>1</v>
      </c>
      <c r="R289" s="9" t="str">
        <f aca="false">TEXT(A289,"mmm")</f>
        <v>Jul</v>
      </c>
      <c r="S289" s="9" t="n">
        <f aca="false">WEEKNUM(A289,2)</f>
        <v>29</v>
      </c>
      <c r="T289" s="9" t="str">
        <f aca="false">IF(A289&lt;DATE(2026,6,30),"1-Pre-outage",IF(A289&lt;DATE(2026,7,5),"2-Transition","3-Outage-heavy"))</f>
        <v>3-Outage-heavy</v>
      </c>
      <c r="U289" s="9" t="str">
        <f aca="false">IF(K289="","",IF(ISNUMBER(SEARCH("TURBINE",K289)),"Turbine",IF(ISNUMBER(SEARCH("GENERATOR",K289)),"Generator",IF(ISNUMBER(SEARCH("BOILER",K289)),"Boiler",IF(ISNUMBER(SEARCH("AIR PREHEATER",K289)),"Auxiliary",IF(ISNUMBER(SEARCH("ELECTRICAL",K289)),"Electrical","Other"))))))</f>
        <v>Generator</v>
      </c>
      <c r="V289" s="9" t="n">
        <f aca="false">AVERAGEIFS(G:G,B:B,B289,H:H,0)</f>
        <v>1.61181818181818</v>
      </c>
      <c r="W289" s="9" t="n">
        <f aca="false">IF(P289=1,MAX(0,V289-G289),0)</f>
        <v>1.61181818181818</v>
      </c>
    </row>
    <row r="290" customFormat="false" ht="15" hidden="false" customHeight="false" outlineLevel="0" collapsed="false">
      <c r="A290" s="8" t="n">
        <v>46220</v>
      </c>
      <c r="B290" s="9" t="n">
        <v>2</v>
      </c>
      <c r="C290" s="9" t="str">
        <f aca="false">"Unit "&amp;B290</f>
        <v>Unit 2</v>
      </c>
      <c r="D290" s="9"/>
      <c r="E290" s="9" t="n">
        <v>110</v>
      </c>
      <c r="F290" s="9" t="n">
        <v>1.87</v>
      </c>
      <c r="G290" s="9" t="n">
        <v>1.89</v>
      </c>
      <c r="H290" s="9" t="n">
        <v>0</v>
      </c>
      <c r="I290" s="9"/>
      <c r="J290" s="9"/>
      <c r="K290" s="9"/>
      <c r="L290" s="9" t="n">
        <f aca="false">E290*24/1000</f>
        <v>2.64</v>
      </c>
      <c r="M290" s="10" t="n">
        <f aca="false">G290/L290</f>
        <v>0.715909090909091</v>
      </c>
      <c r="N290" s="9" t="n">
        <f aca="false">G290-F290</f>
        <v>0.0199999999999998</v>
      </c>
      <c r="O290" s="10" t="n">
        <f aca="false">IF(F290=0,"",G290/F290)</f>
        <v>1.01069518716578</v>
      </c>
      <c r="P290" s="9" t="n">
        <f aca="false">IF(H290&gt;0,1,0)</f>
        <v>0</v>
      </c>
      <c r="Q290" s="9" t="n">
        <f aca="false">IF(G290=0,1,0)</f>
        <v>0</v>
      </c>
      <c r="R290" s="9" t="str">
        <f aca="false">TEXT(A290,"mmm")</f>
        <v>Jul</v>
      </c>
      <c r="S290" s="9" t="n">
        <f aca="false">WEEKNUM(A290,2)</f>
        <v>29</v>
      </c>
      <c r="T290" s="9" t="str">
        <f aca="false">IF(A290&lt;DATE(2026,6,30),"1-Pre-outage",IF(A290&lt;DATE(2026,7,5),"2-Transition","3-Outage-heavy"))</f>
        <v>3-Outage-heavy</v>
      </c>
      <c r="U290" s="9" t="str">
        <f aca="false">IF(K290="","",IF(ISNUMBER(SEARCH("TURBINE",K290)),"Turbine",IF(ISNUMBER(SEARCH("GENERATOR",K290)),"Generator",IF(ISNUMBER(SEARCH("BOILER",K290)),"Boiler",IF(ISNUMBER(SEARCH("AIR PREHEATER",K290)),"Auxiliary",IF(ISNUMBER(SEARCH("ELECTRICAL",K290)),"Electrical","Other"))))))</f>
        <v/>
      </c>
      <c r="V290" s="9" t="n">
        <f aca="false">AVERAGEIFS(G:G,B:B,B290,H:H,0)</f>
        <v>1.67955555555556</v>
      </c>
      <c r="W290" s="9" t="n">
        <f aca="false">IF(P290=1,MAX(0,V290-G290),0)</f>
        <v>0</v>
      </c>
    </row>
    <row r="291" customFormat="false" ht="15" hidden="false" customHeight="false" outlineLevel="0" collapsed="false">
      <c r="A291" s="8" t="n">
        <v>46220</v>
      </c>
      <c r="B291" s="9" t="n">
        <v>3</v>
      </c>
      <c r="C291" s="9" t="str">
        <f aca="false">"Unit "&amp;B291</f>
        <v>Unit 3</v>
      </c>
      <c r="D291" s="9"/>
      <c r="E291" s="9" t="n">
        <v>210</v>
      </c>
      <c r="F291" s="9" t="n">
        <v>0</v>
      </c>
      <c r="G291" s="9" t="n">
        <v>3.95</v>
      </c>
      <c r="H291" s="9" t="n">
        <v>0</v>
      </c>
      <c r="I291" s="9"/>
      <c r="J291" s="9"/>
      <c r="K291" s="9"/>
      <c r="L291" s="9" t="n">
        <f aca="false">E291*24/1000</f>
        <v>5.04</v>
      </c>
      <c r="M291" s="10" t="n">
        <f aca="false">G291/L291</f>
        <v>0.783730158730159</v>
      </c>
      <c r="N291" s="9" t="n">
        <f aca="false">G291-F291</f>
        <v>3.95</v>
      </c>
      <c r="O291" s="10" t="str">
        <f aca="false">IF(F291=0,"",G291/F291)</f>
        <v/>
      </c>
      <c r="P291" s="9" t="n">
        <f aca="false">IF(H291&gt;0,1,0)</f>
        <v>0</v>
      </c>
      <c r="Q291" s="9" t="n">
        <f aca="false">IF(G291=0,1,0)</f>
        <v>0</v>
      </c>
      <c r="R291" s="9" t="str">
        <f aca="false">TEXT(A291,"mmm")</f>
        <v>Jul</v>
      </c>
      <c r="S291" s="9" t="n">
        <f aca="false">WEEKNUM(A291,2)</f>
        <v>29</v>
      </c>
      <c r="T291" s="9" t="str">
        <f aca="false">IF(A291&lt;DATE(2026,6,30),"1-Pre-outage",IF(A291&lt;DATE(2026,7,5),"2-Transition","3-Outage-heavy"))</f>
        <v>3-Outage-heavy</v>
      </c>
      <c r="U291" s="9" t="str">
        <f aca="false">IF(K291="","",IF(ISNUMBER(SEARCH("TURBINE",K291)),"Turbine",IF(ISNUMBER(SEARCH("GENERATOR",K291)),"Generator",IF(ISNUMBER(SEARCH("BOILER",K291)),"Boiler",IF(ISNUMBER(SEARCH("AIR PREHEATER",K291)),"Auxiliary",IF(ISNUMBER(SEARCH("ELECTRICAL",K291)),"Electrical","Other"))))))</f>
        <v/>
      </c>
      <c r="V291" s="9" t="n">
        <f aca="false">AVERAGEIFS(G:G,B:B,B291,H:H,0)</f>
        <v>3.72697674418605</v>
      </c>
      <c r="W291" s="9" t="n">
        <f aca="false">IF(P291=1,MAX(0,V291-G291),0)</f>
        <v>0</v>
      </c>
    </row>
    <row r="292" customFormat="false" ht="15" hidden="false" customHeight="false" outlineLevel="0" collapsed="false">
      <c r="A292" s="8" t="n">
        <v>46220</v>
      </c>
      <c r="B292" s="9" t="n">
        <v>4</v>
      </c>
      <c r="C292" s="9" t="str">
        <f aca="false">"Unit "&amp;B292</f>
        <v>Unit 4</v>
      </c>
      <c r="D292" s="9" t="s">
        <v>76</v>
      </c>
      <c r="E292" s="9" t="n">
        <v>210</v>
      </c>
      <c r="F292" s="9" t="n">
        <v>0</v>
      </c>
      <c r="G292" s="9" t="n">
        <v>0.13</v>
      </c>
      <c r="H292" s="9" t="n">
        <v>210</v>
      </c>
      <c r="I292" s="11" t="n">
        <v>46220.8965277778</v>
      </c>
      <c r="J292" s="9"/>
      <c r="K292" s="9" t="s">
        <v>90</v>
      </c>
      <c r="L292" s="9" t="n">
        <f aca="false">E292*24/1000</f>
        <v>5.04</v>
      </c>
      <c r="M292" s="10" t="n">
        <f aca="false">G292/L292</f>
        <v>0.0257936507936508</v>
      </c>
      <c r="N292" s="9" t="n">
        <f aca="false">G292-F292</f>
        <v>0.13</v>
      </c>
      <c r="O292" s="10" t="str">
        <f aca="false">IF(F292=0,"",G292/F292)</f>
        <v/>
      </c>
      <c r="P292" s="9" t="n">
        <f aca="false">IF(H292&gt;0,1,0)</f>
        <v>1</v>
      </c>
      <c r="Q292" s="9" t="n">
        <f aca="false">IF(G292=0,1,0)</f>
        <v>0</v>
      </c>
      <c r="R292" s="9" t="str">
        <f aca="false">TEXT(A292,"mmm")</f>
        <v>Jul</v>
      </c>
      <c r="S292" s="9" t="n">
        <f aca="false">WEEKNUM(A292,2)</f>
        <v>29</v>
      </c>
      <c r="T292" s="9" t="str">
        <f aca="false">IF(A292&lt;DATE(2026,6,30),"1-Pre-outage",IF(A292&lt;DATE(2026,7,5),"2-Transition","3-Outage-heavy"))</f>
        <v>3-Outage-heavy</v>
      </c>
      <c r="U292" s="9" t="str">
        <f aca="false">IF(K292="","",IF(ISNUMBER(SEARCH("TURBINE",K292)),"Turbine",IF(ISNUMBER(SEARCH("GENERATOR",K292)),"Generator",IF(ISNUMBER(SEARCH("BOILER",K292)),"Boiler",IF(ISNUMBER(SEARCH("AIR PREHEATER",K292)),"Auxiliary",IF(ISNUMBER(SEARCH("ELECTRICAL",K292)),"Electrical","Other"))))))</f>
        <v>Generator</v>
      </c>
      <c r="V292" s="9" t="n">
        <f aca="false">AVERAGEIFS(G:G,B:B,B292,H:H,0)</f>
        <v>3.53586206896552</v>
      </c>
      <c r="W292" s="9" t="n">
        <f aca="false">IF(P292=1,MAX(0,V292-G292),0)</f>
        <v>3.40586206896552</v>
      </c>
    </row>
    <row r="293" customFormat="false" ht="15" hidden="false" customHeight="false" outlineLevel="0" collapsed="false">
      <c r="A293" s="8" t="n">
        <v>46220</v>
      </c>
      <c r="B293" s="9" t="n">
        <v>5</v>
      </c>
      <c r="C293" s="9" t="str">
        <f aca="false">"Unit "&amp;B293</f>
        <v>Unit 5</v>
      </c>
      <c r="D293" s="9"/>
      <c r="E293" s="9" t="n">
        <v>210</v>
      </c>
      <c r="F293" s="9" t="n">
        <v>3.81</v>
      </c>
      <c r="G293" s="9" t="n">
        <v>4.13</v>
      </c>
      <c r="H293" s="9" t="n">
        <v>0</v>
      </c>
      <c r="I293" s="9"/>
      <c r="J293" s="9"/>
      <c r="K293" s="9"/>
      <c r="L293" s="9" t="n">
        <f aca="false">E293*24/1000</f>
        <v>5.04</v>
      </c>
      <c r="M293" s="10" t="n">
        <f aca="false">G293/L293</f>
        <v>0.819444444444444</v>
      </c>
      <c r="N293" s="9" t="n">
        <f aca="false">G293-F293</f>
        <v>0.32</v>
      </c>
      <c r="O293" s="10" t="n">
        <f aca="false">IF(F293=0,"",G293/F293)</f>
        <v>1.08398950131234</v>
      </c>
      <c r="P293" s="9" t="n">
        <f aca="false">IF(H293&gt;0,1,0)</f>
        <v>0</v>
      </c>
      <c r="Q293" s="9" t="n">
        <f aca="false">IF(G293=0,1,0)</f>
        <v>0</v>
      </c>
      <c r="R293" s="9" t="str">
        <f aca="false">TEXT(A293,"mmm")</f>
        <v>Jul</v>
      </c>
      <c r="S293" s="9" t="n">
        <f aca="false">WEEKNUM(A293,2)</f>
        <v>29</v>
      </c>
      <c r="T293" s="9" t="str">
        <f aca="false">IF(A293&lt;DATE(2026,6,30),"1-Pre-outage",IF(A293&lt;DATE(2026,7,5),"2-Transition","3-Outage-heavy"))</f>
        <v>3-Outage-heavy</v>
      </c>
      <c r="U293" s="9" t="str">
        <f aca="false">IF(K293="","",IF(ISNUMBER(SEARCH("TURBINE",K293)),"Turbine",IF(ISNUMBER(SEARCH("GENERATOR",K293)),"Generator",IF(ISNUMBER(SEARCH("BOILER",K293)),"Boiler",IF(ISNUMBER(SEARCH("AIR PREHEATER",K293)),"Auxiliary",IF(ISNUMBER(SEARCH("ELECTRICAL",K293)),"Electrical","Other"))))))</f>
        <v/>
      </c>
      <c r="V293" s="9" t="n">
        <f aca="false">AVERAGEIFS(G:G,B:B,B293,H:H,0)</f>
        <v>3.98888888888889</v>
      </c>
      <c r="W293" s="9" t="n">
        <f aca="false">IF(P293=1,MAX(0,V293-G293),0)</f>
        <v>0</v>
      </c>
    </row>
    <row r="294" customFormat="false" ht="15" hidden="false" customHeight="false" outlineLevel="0" collapsed="false">
      <c r="A294" s="8" t="n">
        <v>46220</v>
      </c>
      <c r="B294" s="9" t="n">
        <v>6</v>
      </c>
      <c r="C294" s="9" t="str">
        <f aca="false">"Unit "&amp;B294</f>
        <v>Unit 6</v>
      </c>
      <c r="D294" s="9"/>
      <c r="E294" s="9" t="n">
        <v>195</v>
      </c>
      <c r="F294" s="9" t="n">
        <v>3.84</v>
      </c>
      <c r="G294" s="9" t="n">
        <v>4.01</v>
      </c>
      <c r="H294" s="9" t="n">
        <v>0</v>
      </c>
      <c r="I294" s="9"/>
      <c r="J294" s="9"/>
      <c r="K294" s="9"/>
      <c r="L294" s="9" t="n">
        <f aca="false">E294*24/1000</f>
        <v>4.68</v>
      </c>
      <c r="M294" s="10" t="n">
        <f aca="false">G294/L294</f>
        <v>0.856837606837607</v>
      </c>
      <c r="N294" s="9" t="n">
        <f aca="false">G294-F294</f>
        <v>0.17</v>
      </c>
      <c r="O294" s="10" t="n">
        <f aca="false">IF(F294=0,"",G294/F294)</f>
        <v>1.04427083333333</v>
      </c>
      <c r="P294" s="9" t="n">
        <f aca="false">IF(H294&gt;0,1,0)</f>
        <v>0</v>
      </c>
      <c r="Q294" s="9" t="n">
        <f aca="false">IF(G294=0,1,0)</f>
        <v>0</v>
      </c>
      <c r="R294" s="9" t="str">
        <f aca="false">TEXT(A294,"mmm")</f>
        <v>Jul</v>
      </c>
      <c r="S294" s="9" t="n">
        <f aca="false">WEEKNUM(A294,2)</f>
        <v>29</v>
      </c>
      <c r="T294" s="9" t="str">
        <f aca="false">IF(A294&lt;DATE(2026,6,30),"1-Pre-outage",IF(A294&lt;DATE(2026,7,5),"2-Transition","3-Outage-heavy"))</f>
        <v>3-Outage-heavy</v>
      </c>
      <c r="U294" s="9" t="str">
        <f aca="false">IF(K294="","",IF(ISNUMBER(SEARCH("TURBINE",K294)),"Turbine",IF(ISNUMBER(SEARCH("GENERATOR",K294)),"Generator",IF(ISNUMBER(SEARCH("BOILER",K294)),"Boiler",IF(ISNUMBER(SEARCH("AIR PREHEATER",K294)),"Auxiliary",IF(ISNUMBER(SEARCH("ELECTRICAL",K294)),"Electrical","Other"))))))</f>
        <v/>
      </c>
      <c r="V294" s="9" t="n">
        <f aca="false">AVERAGEIFS(G:G,B:B,B294,H:H,0)</f>
        <v>3.85377777777778</v>
      </c>
      <c r="W294" s="9" t="n">
        <f aca="false">IF(P294=1,MAX(0,V294-G294),0)</f>
        <v>0</v>
      </c>
    </row>
    <row r="295" customFormat="false" ht="15" hidden="false" customHeight="false" outlineLevel="0" collapsed="false">
      <c r="A295" s="8" t="n">
        <v>46220</v>
      </c>
      <c r="B295" s="9" t="n">
        <v>7</v>
      </c>
      <c r="C295" s="9" t="str">
        <f aca="false">"Unit "&amp;B295</f>
        <v>Unit 7</v>
      </c>
      <c r="D295" s="9" t="s">
        <v>79</v>
      </c>
      <c r="E295" s="9" t="n">
        <v>195</v>
      </c>
      <c r="F295" s="9" t="n">
        <v>0</v>
      </c>
      <c r="G295" s="9" t="n">
        <v>0.75</v>
      </c>
      <c r="H295" s="9" t="n">
        <v>195</v>
      </c>
      <c r="I295" s="11" t="n">
        <v>46218.7986111111</v>
      </c>
      <c r="J295" s="11" t="n">
        <v>46220.78125</v>
      </c>
      <c r="K295" s="9" t="s">
        <v>98</v>
      </c>
      <c r="L295" s="9" t="n">
        <f aca="false">E295*24/1000</f>
        <v>4.68</v>
      </c>
      <c r="M295" s="10" t="n">
        <f aca="false">G295/L295</f>
        <v>0.16025641025641</v>
      </c>
      <c r="N295" s="9" t="n">
        <f aca="false">G295-F295</f>
        <v>0.75</v>
      </c>
      <c r="O295" s="10" t="str">
        <f aca="false">IF(F295=0,"",G295/F295)</f>
        <v/>
      </c>
      <c r="P295" s="9" t="n">
        <f aca="false">IF(H295&gt;0,1,0)</f>
        <v>1</v>
      </c>
      <c r="Q295" s="9" t="n">
        <f aca="false">IF(G295=0,1,0)</f>
        <v>0</v>
      </c>
      <c r="R295" s="9" t="str">
        <f aca="false">TEXT(A295,"mmm")</f>
        <v>Jul</v>
      </c>
      <c r="S295" s="9" t="n">
        <f aca="false">WEEKNUM(A295,2)</f>
        <v>29</v>
      </c>
      <c r="T295" s="9" t="str">
        <f aca="false">IF(A295&lt;DATE(2026,6,30),"1-Pre-outage",IF(A295&lt;DATE(2026,7,5),"2-Transition","3-Outage-heavy"))</f>
        <v>3-Outage-heavy</v>
      </c>
      <c r="U295" s="9" t="str">
        <f aca="false">IF(K295="","",IF(ISNUMBER(SEARCH("TURBINE",K295)),"Turbine",IF(ISNUMBER(SEARCH("GENERATOR",K295)),"Generator",IF(ISNUMBER(SEARCH("BOILER",K295)),"Boiler",IF(ISNUMBER(SEARCH("AIR PREHEATER",K295)),"Auxiliary",IF(ISNUMBER(SEARCH("ELECTRICAL",K295)),"Electrical","Other"))))))</f>
        <v>Boiler</v>
      </c>
      <c r="V295" s="9" t="n">
        <f aca="false">AVERAGEIFS(G:G,B:B,B295,H:H,0)</f>
        <v>3.98375</v>
      </c>
      <c r="W295" s="9" t="n">
        <f aca="false">IF(P295=1,MAX(0,V295-G295),0)</f>
        <v>3.23375</v>
      </c>
    </row>
    <row r="296" customFormat="false" ht="15" hidden="false" customHeight="false" outlineLevel="0" collapsed="false">
      <c r="A296" s="8" t="n">
        <v>46221</v>
      </c>
      <c r="B296" s="9" t="n">
        <v>1</v>
      </c>
      <c r="C296" s="9" t="str">
        <f aca="false">"Unit "&amp;B296</f>
        <v>Unit 1</v>
      </c>
      <c r="D296" s="9" t="s">
        <v>76</v>
      </c>
      <c r="E296" s="9" t="n">
        <v>110</v>
      </c>
      <c r="F296" s="9" t="n">
        <v>1.84</v>
      </c>
      <c r="G296" s="9" t="n">
        <v>0</v>
      </c>
      <c r="H296" s="9" t="n">
        <v>110</v>
      </c>
      <c r="I296" s="11" t="n">
        <v>46212.0006944445</v>
      </c>
      <c r="J296" s="9"/>
      <c r="K296" s="9" t="s">
        <v>90</v>
      </c>
      <c r="L296" s="9" t="n">
        <f aca="false">E296*24/1000</f>
        <v>2.64</v>
      </c>
      <c r="M296" s="10" t="n">
        <f aca="false">G296/L296</f>
        <v>0</v>
      </c>
      <c r="N296" s="9" t="n">
        <f aca="false">G296-F296</f>
        <v>-1.84</v>
      </c>
      <c r="O296" s="10" t="n">
        <f aca="false">IF(F296=0,"",G296/F296)</f>
        <v>0</v>
      </c>
      <c r="P296" s="9" t="n">
        <f aca="false">IF(H296&gt;0,1,0)</f>
        <v>1</v>
      </c>
      <c r="Q296" s="9" t="n">
        <f aca="false">IF(G296=0,1,0)</f>
        <v>1</v>
      </c>
      <c r="R296" s="9" t="str">
        <f aca="false">TEXT(A296,"mmm")</f>
        <v>Jul</v>
      </c>
      <c r="S296" s="9" t="n">
        <f aca="false">WEEKNUM(A296,2)</f>
        <v>29</v>
      </c>
      <c r="T296" s="9" t="str">
        <f aca="false">IF(A296&lt;DATE(2026,6,30),"1-Pre-outage",IF(A296&lt;DATE(2026,7,5),"2-Transition","3-Outage-heavy"))</f>
        <v>3-Outage-heavy</v>
      </c>
      <c r="U296" s="9" t="str">
        <f aca="false">IF(K296="","",IF(ISNUMBER(SEARCH("TURBINE",K296)),"Turbine",IF(ISNUMBER(SEARCH("GENERATOR",K296)),"Generator",IF(ISNUMBER(SEARCH("BOILER",K296)),"Boiler",IF(ISNUMBER(SEARCH("AIR PREHEATER",K296)),"Auxiliary",IF(ISNUMBER(SEARCH("ELECTRICAL",K296)),"Electrical","Other"))))))</f>
        <v>Generator</v>
      </c>
      <c r="V296" s="9" t="n">
        <f aca="false">AVERAGEIFS(G:G,B:B,B296,H:H,0)</f>
        <v>1.61181818181818</v>
      </c>
      <c r="W296" s="9" t="n">
        <f aca="false">IF(P296=1,MAX(0,V296-G296),0)</f>
        <v>1.61181818181818</v>
      </c>
    </row>
    <row r="297" customFormat="false" ht="15" hidden="false" customHeight="false" outlineLevel="0" collapsed="false">
      <c r="A297" s="8" t="n">
        <v>46221</v>
      </c>
      <c r="B297" s="9" t="n">
        <v>2</v>
      </c>
      <c r="C297" s="9" t="str">
        <f aca="false">"Unit "&amp;B297</f>
        <v>Unit 2</v>
      </c>
      <c r="D297" s="9"/>
      <c r="E297" s="9" t="n">
        <v>110</v>
      </c>
      <c r="F297" s="9" t="n">
        <v>1.87</v>
      </c>
      <c r="G297" s="9" t="n">
        <v>1.84</v>
      </c>
      <c r="H297" s="9" t="n">
        <v>0</v>
      </c>
      <c r="I297" s="9"/>
      <c r="J297" s="9"/>
      <c r="K297" s="9"/>
      <c r="L297" s="9" t="n">
        <f aca="false">E297*24/1000</f>
        <v>2.64</v>
      </c>
      <c r="M297" s="10" t="n">
        <f aca="false">G297/L297</f>
        <v>0.696969696969697</v>
      </c>
      <c r="N297" s="9" t="n">
        <f aca="false">G297-F297</f>
        <v>-0.03</v>
      </c>
      <c r="O297" s="10" t="n">
        <f aca="false">IF(F297=0,"",G297/F297)</f>
        <v>0.983957219251337</v>
      </c>
      <c r="P297" s="9" t="n">
        <f aca="false">IF(H297&gt;0,1,0)</f>
        <v>0</v>
      </c>
      <c r="Q297" s="9" t="n">
        <f aca="false">IF(G297=0,1,0)</f>
        <v>0</v>
      </c>
      <c r="R297" s="9" t="str">
        <f aca="false">TEXT(A297,"mmm")</f>
        <v>Jul</v>
      </c>
      <c r="S297" s="9" t="n">
        <f aca="false">WEEKNUM(A297,2)</f>
        <v>29</v>
      </c>
      <c r="T297" s="9" t="str">
        <f aca="false">IF(A297&lt;DATE(2026,6,30),"1-Pre-outage",IF(A297&lt;DATE(2026,7,5),"2-Transition","3-Outage-heavy"))</f>
        <v>3-Outage-heavy</v>
      </c>
      <c r="U297" s="9" t="str">
        <f aca="false">IF(K297="","",IF(ISNUMBER(SEARCH("TURBINE",K297)),"Turbine",IF(ISNUMBER(SEARCH("GENERATOR",K297)),"Generator",IF(ISNUMBER(SEARCH("BOILER",K297)),"Boiler",IF(ISNUMBER(SEARCH("AIR PREHEATER",K297)),"Auxiliary",IF(ISNUMBER(SEARCH("ELECTRICAL",K297)),"Electrical","Other"))))))</f>
        <v/>
      </c>
      <c r="V297" s="9" t="n">
        <f aca="false">AVERAGEIFS(G:G,B:B,B297,H:H,0)</f>
        <v>1.67955555555556</v>
      </c>
      <c r="W297" s="9" t="n">
        <f aca="false">IF(P297=1,MAX(0,V297-G297),0)</f>
        <v>0</v>
      </c>
    </row>
    <row r="298" customFormat="false" ht="15" hidden="false" customHeight="false" outlineLevel="0" collapsed="false">
      <c r="A298" s="8" t="n">
        <v>46221</v>
      </c>
      <c r="B298" s="9" t="n">
        <v>3</v>
      </c>
      <c r="C298" s="9" t="str">
        <f aca="false">"Unit "&amp;B298</f>
        <v>Unit 3</v>
      </c>
      <c r="D298" s="9"/>
      <c r="E298" s="9" t="n">
        <v>210</v>
      </c>
      <c r="F298" s="9" t="n">
        <v>0</v>
      </c>
      <c r="G298" s="9" t="n">
        <v>3.84</v>
      </c>
      <c r="H298" s="9" t="n">
        <v>0</v>
      </c>
      <c r="I298" s="9"/>
      <c r="J298" s="9"/>
      <c r="K298" s="9"/>
      <c r="L298" s="9" t="n">
        <f aca="false">E298*24/1000</f>
        <v>5.04</v>
      </c>
      <c r="M298" s="10" t="n">
        <f aca="false">G298/L298</f>
        <v>0.761904761904762</v>
      </c>
      <c r="N298" s="9" t="n">
        <f aca="false">G298-F298</f>
        <v>3.84</v>
      </c>
      <c r="O298" s="10" t="str">
        <f aca="false">IF(F298=0,"",G298/F298)</f>
        <v/>
      </c>
      <c r="P298" s="9" t="n">
        <f aca="false">IF(H298&gt;0,1,0)</f>
        <v>0</v>
      </c>
      <c r="Q298" s="9" t="n">
        <f aca="false">IF(G298=0,1,0)</f>
        <v>0</v>
      </c>
      <c r="R298" s="9" t="str">
        <f aca="false">TEXT(A298,"mmm")</f>
        <v>Jul</v>
      </c>
      <c r="S298" s="9" t="n">
        <f aca="false">WEEKNUM(A298,2)</f>
        <v>29</v>
      </c>
      <c r="T298" s="9" t="str">
        <f aca="false">IF(A298&lt;DATE(2026,6,30),"1-Pre-outage",IF(A298&lt;DATE(2026,7,5),"2-Transition","3-Outage-heavy"))</f>
        <v>3-Outage-heavy</v>
      </c>
      <c r="U298" s="9" t="str">
        <f aca="false">IF(K298="","",IF(ISNUMBER(SEARCH("TURBINE",K298)),"Turbine",IF(ISNUMBER(SEARCH("GENERATOR",K298)),"Generator",IF(ISNUMBER(SEARCH("BOILER",K298)),"Boiler",IF(ISNUMBER(SEARCH("AIR PREHEATER",K298)),"Auxiliary",IF(ISNUMBER(SEARCH("ELECTRICAL",K298)),"Electrical","Other"))))))</f>
        <v/>
      </c>
      <c r="V298" s="9" t="n">
        <f aca="false">AVERAGEIFS(G:G,B:B,B298,H:H,0)</f>
        <v>3.72697674418605</v>
      </c>
      <c r="W298" s="9" t="n">
        <f aca="false">IF(P298=1,MAX(0,V298-G298),0)</f>
        <v>0</v>
      </c>
    </row>
    <row r="299" customFormat="false" ht="15" hidden="false" customHeight="false" outlineLevel="0" collapsed="false">
      <c r="A299" s="8" t="n">
        <v>46221</v>
      </c>
      <c r="B299" s="9" t="n">
        <v>4</v>
      </c>
      <c r="C299" s="9" t="str">
        <f aca="false">"Unit "&amp;B299</f>
        <v>Unit 4</v>
      </c>
      <c r="D299" s="9" t="s">
        <v>76</v>
      </c>
      <c r="E299" s="9" t="n">
        <v>210</v>
      </c>
      <c r="F299" s="9" t="n">
        <v>0</v>
      </c>
      <c r="G299" s="9" t="n">
        <v>0.16</v>
      </c>
      <c r="H299" s="9" t="n">
        <v>210</v>
      </c>
      <c r="I299" s="11" t="n">
        <v>46221.4180555556</v>
      </c>
      <c r="J299" s="9"/>
      <c r="K299" s="9" t="s">
        <v>102</v>
      </c>
      <c r="L299" s="9" t="n">
        <f aca="false">E299*24/1000</f>
        <v>5.04</v>
      </c>
      <c r="M299" s="10" t="n">
        <f aca="false">G299/L299</f>
        <v>0.0317460317460317</v>
      </c>
      <c r="N299" s="9" t="n">
        <f aca="false">G299-F299</f>
        <v>0.16</v>
      </c>
      <c r="O299" s="10" t="str">
        <f aca="false">IF(F299=0,"",G299/F299)</f>
        <v/>
      </c>
      <c r="P299" s="9" t="n">
        <f aca="false">IF(H299&gt;0,1,0)</f>
        <v>1</v>
      </c>
      <c r="Q299" s="9" t="n">
        <f aca="false">IF(G299=0,1,0)</f>
        <v>0</v>
      </c>
      <c r="R299" s="9" t="str">
        <f aca="false">TEXT(A299,"mmm")</f>
        <v>Jul</v>
      </c>
      <c r="S299" s="9" t="n">
        <f aca="false">WEEKNUM(A299,2)</f>
        <v>29</v>
      </c>
      <c r="T299" s="9" t="str">
        <f aca="false">IF(A299&lt;DATE(2026,6,30),"1-Pre-outage",IF(A299&lt;DATE(2026,7,5),"2-Transition","3-Outage-heavy"))</f>
        <v>3-Outage-heavy</v>
      </c>
      <c r="U299" s="9" t="str">
        <f aca="false">IF(K299="","",IF(ISNUMBER(SEARCH("TURBINE",K299)),"Turbine",IF(ISNUMBER(SEARCH("GENERATOR",K299)),"Generator",IF(ISNUMBER(SEARCH("BOILER",K299)),"Boiler",IF(ISNUMBER(SEARCH("AIR PREHEATER",K299)),"Auxiliary",IF(ISNUMBER(SEARCH("ELECTRICAL",K299)),"Electrical","Other"))))))</f>
        <v>Turbine</v>
      </c>
      <c r="V299" s="9" t="n">
        <f aca="false">AVERAGEIFS(G:G,B:B,B299,H:H,0)</f>
        <v>3.53586206896552</v>
      </c>
      <c r="W299" s="9" t="n">
        <f aca="false">IF(P299=1,MAX(0,V299-G299),0)</f>
        <v>3.37586206896552</v>
      </c>
    </row>
    <row r="300" customFormat="false" ht="15" hidden="false" customHeight="false" outlineLevel="0" collapsed="false">
      <c r="A300" s="8" t="n">
        <v>46221</v>
      </c>
      <c r="B300" s="9" t="n">
        <v>5</v>
      </c>
      <c r="C300" s="9" t="str">
        <f aca="false">"Unit "&amp;B300</f>
        <v>Unit 5</v>
      </c>
      <c r="D300" s="9"/>
      <c r="E300" s="9" t="n">
        <v>210</v>
      </c>
      <c r="F300" s="9" t="n">
        <v>3.81</v>
      </c>
      <c r="G300" s="9" t="n">
        <v>4.26</v>
      </c>
      <c r="H300" s="9" t="n">
        <v>0</v>
      </c>
      <c r="I300" s="9"/>
      <c r="J300" s="9"/>
      <c r="K300" s="9"/>
      <c r="L300" s="9" t="n">
        <f aca="false">E300*24/1000</f>
        <v>5.04</v>
      </c>
      <c r="M300" s="10" t="n">
        <f aca="false">G300/L300</f>
        <v>0.845238095238095</v>
      </c>
      <c r="N300" s="9" t="n">
        <f aca="false">G300-F300</f>
        <v>0.45</v>
      </c>
      <c r="O300" s="10" t="n">
        <f aca="false">IF(F300=0,"",G300/F300)</f>
        <v>1.11811023622047</v>
      </c>
      <c r="P300" s="9" t="n">
        <f aca="false">IF(H300&gt;0,1,0)</f>
        <v>0</v>
      </c>
      <c r="Q300" s="9" t="n">
        <f aca="false">IF(G300=0,1,0)</f>
        <v>0</v>
      </c>
      <c r="R300" s="9" t="str">
        <f aca="false">TEXT(A300,"mmm")</f>
        <v>Jul</v>
      </c>
      <c r="S300" s="9" t="n">
        <f aca="false">WEEKNUM(A300,2)</f>
        <v>29</v>
      </c>
      <c r="T300" s="9" t="str">
        <f aca="false">IF(A300&lt;DATE(2026,6,30),"1-Pre-outage",IF(A300&lt;DATE(2026,7,5),"2-Transition","3-Outage-heavy"))</f>
        <v>3-Outage-heavy</v>
      </c>
      <c r="U300" s="9" t="str">
        <f aca="false">IF(K300="","",IF(ISNUMBER(SEARCH("TURBINE",K300)),"Turbine",IF(ISNUMBER(SEARCH("GENERATOR",K300)),"Generator",IF(ISNUMBER(SEARCH("BOILER",K300)),"Boiler",IF(ISNUMBER(SEARCH("AIR PREHEATER",K300)),"Auxiliary",IF(ISNUMBER(SEARCH("ELECTRICAL",K300)),"Electrical","Other"))))))</f>
        <v/>
      </c>
      <c r="V300" s="9" t="n">
        <f aca="false">AVERAGEIFS(G:G,B:B,B300,H:H,0)</f>
        <v>3.98888888888889</v>
      </c>
      <c r="W300" s="9" t="n">
        <f aca="false">IF(P300=1,MAX(0,V300-G300),0)</f>
        <v>0</v>
      </c>
    </row>
    <row r="301" customFormat="false" ht="15" hidden="false" customHeight="false" outlineLevel="0" collapsed="false">
      <c r="A301" s="8" t="n">
        <v>46221</v>
      </c>
      <c r="B301" s="9" t="n">
        <v>6</v>
      </c>
      <c r="C301" s="9" t="str">
        <f aca="false">"Unit "&amp;B301</f>
        <v>Unit 6</v>
      </c>
      <c r="D301" s="9"/>
      <c r="E301" s="9" t="n">
        <v>195</v>
      </c>
      <c r="F301" s="9" t="n">
        <v>3.84</v>
      </c>
      <c r="G301" s="9" t="n">
        <v>4</v>
      </c>
      <c r="H301" s="9" t="n">
        <v>0</v>
      </c>
      <c r="I301" s="9"/>
      <c r="J301" s="9"/>
      <c r="K301" s="9"/>
      <c r="L301" s="9" t="n">
        <f aca="false">E301*24/1000</f>
        <v>4.68</v>
      </c>
      <c r="M301" s="10" t="n">
        <f aca="false">G301/L301</f>
        <v>0.854700854700855</v>
      </c>
      <c r="N301" s="9" t="n">
        <f aca="false">G301-F301</f>
        <v>0.16</v>
      </c>
      <c r="O301" s="10" t="n">
        <f aca="false">IF(F301=0,"",G301/F301)</f>
        <v>1.04166666666667</v>
      </c>
      <c r="P301" s="9" t="n">
        <f aca="false">IF(H301&gt;0,1,0)</f>
        <v>0</v>
      </c>
      <c r="Q301" s="9" t="n">
        <f aca="false">IF(G301=0,1,0)</f>
        <v>0</v>
      </c>
      <c r="R301" s="9" t="str">
        <f aca="false">TEXT(A301,"mmm")</f>
        <v>Jul</v>
      </c>
      <c r="S301" s="9" t="n">
        <f aca="false">WEEKNUM(A301,2)</f>
        <v>29</v>
      </c>
      <c r="T301" s="9" t="str">
        <f aca="false">IF(A301&lt;DATE(2026,6,30),"1-Pre-outage",IF(A301&lt;DATE(2026,7,5),"2-Transition","3-Outage-heavy"))</f>
        <v>3-Outage-heavy</v>
      </c>
      <c r="U301" s="9" t="str">
        <f aca="false">IF(K301="","",IF(ISNUMBER(SEARCH("TURBINE",K301)),"Turbine",IF(ISNUMBER(SEARCH("GENERATOR",K301)),"Generator",IF(ISNUMBER(SEARCH("BOILER",K301)),"Boiler",IF(ISNUMBER(SEARCH("AIR PREHEATER",K301)),"Auxiliary",IF(ISNUMBER(SEARCH("ELECTRICAL",K301)),"Electrical","Other"))))))</f>
        <v/>
      </c>
      <c r="V301" s="9" t="n">
        <f aca="false">AVERAGEIFS(G:G,B:B,B301,H:H,0)</f>
        <v>3.85377777777778</v>
      </c>
      <c r="W301" s="9" t="n">
        <f aca="false">IF(P301=1,MAX(0,V301-G301),0)</f>
        <v>0</v>
      </c>
    </row>
    <row r="302" customFormat="false" ht="15" hidden="false" customHeight="false" outlineLevel="0" collapsed="false">
      <c r="A302" s="8" t="n">
        <v>46221</v>
      </c>
      <c r="B302" s="9" t="n">
        <v>7</v>
      </c>
      <c r="C302" s="9" t="str">
        <f aca="false">"Unit "&amp;B302</f>
        <v>Unit 7</v>
      </c>
      <c r="D302" s="9"/>
      <c r="E302" s="9" t="n">
        <v>195</v>
      </c>
      <c r="F302" s="9" t="n">
        <v>0</v>
      </c>
      <c r="G302" s="9" t="n">
        <v>4.44</v>
      </c>
      <c r="H302" s="9" t="n">
        <v>0</v>
      </c>
      <c r="I302" s="9"/>
      <c r="J302" s="9"/>
      <c r="K302" s="9"/>
      <c r="L302" s="9" t="n">
        <f aca="false">E302*24/1000</f>
        <v>4.68</v>
      </c>
      <c r="M302" s="10" t="n">
        <f aca="false">G302/L302</f>
        <v>0.948717948717949</v>
      </c>
      <c r="N302" s="9" t="n">
        <f aca="false">G302-F302</f>
        <v>4.44</v>
      </c>
      <c r="O302" s="10" t="str">
        <f aca="false">IF(F302=0,"",G302/F302)</f>
        <v/>
      </c>
      <c r="P302" s="9" t="n">
        <f aca="false">IF(H302&gt;0,1,0)</f>
        <v>0</v>
      </c>
      <c r="Q302" s="9" t="n">
        <f aca="false">IF(G302=0,1,0)</f>
        <v>0</v>
      </c>
      <c r="R302" s="9" t="str">
        <f aca="false">TEXT(A302,"mmm")</f>
        <v>Jul</v>
      </c>
      <c r="S302" s="9" t="n">
        <f aca="false">WEEKNUM(A302,2)</f>
        <v>29</v>
      </c>
      <c r="T302" s="9" t="str">
        <f aca="false">IF(A302&lt;DATE(2026,6,30),"1-Pre-outage",IF(A302&lt;DATE(2026,7,5),"2-Transition","3-Outage-heavy"))</f>
        <v>3-Outage-heavy</v>
      </c>
      <c r="U302" s="9" t="str">
        <f aca="false">IF(K302="","",IF(ISNUMBER(SEARCH("TURBINE",K302)),"Turbine",IF(ISNUMBER(SEARCH("GENERATOR",K302)),"Generator",IF(ISNUMBER(SEARCH("BOILER",K302)),"Boiler",IF(ISNUMBER(SEARCH("AIR PREHEATER",K302)),"Auxiliary",IF(ISNUMBER(SEARCH("ELECTRICAL",K302)),"Electrical","Other"))))))</f>
        <v/>
      </c>
      <c r="V302" s="9" t="n">
        <f aca="false">AVERAGEIFS(G:G,B:B,B302,H:H,0)</f>
        <v>3.98375</v>
      </c>
      <c r="W302" s="9" t="n">
        <f aca="false">IF(P302=1,MAX(0,V302-G302),0)</f>
        <v>0</v>
      </c>
    </row>
    <row r="303" customFormat="false" ht="15" hidden="false" customHeight="false" outlineLevel="0" collapsed="false">
      <c r="A303" s="8" t="n">
        <v>46222</v>
      </c>
      <c r="B303" s="9" t="n">
        <v>1</v>
      </c>
      <c r="C303" s="9" t="str">
        <f aca="false">"Unit "&amp;B303</f>
        <v>Unit 1</v>
      </c>
      <c r="D303" s="9" t="s">
        <v>76</v>
      </c>
      <c r="E303" s="9" t="n">
        <v>110</v>
      </c>
      <c r="F303" s="9" t="n">
        <v>1.84</v>
      </c>
      <c r="G303" s="9" t="n">
        <v>0</v>
      </c>
      <c r="H303" s="9" t="n">
        <v>110</v>
      </c>
      <c r="I303" s="11" t="n">
        <v>46212.0006944445</v>
      </c>
      <c r="J303" s="9"/>
      <c r="K303" s="9" t="s">
        <v>90</v>
      </c>
      <c r="L303" s="9" t="n">
        <f aca="false">E303*24/1000</f>
        <v>2.64</v>
      </c>
      <c r="M303" s="10" t="n">
        <f aca="false">G303/L303</f>
        <v>0</v>
      </c>
      <c r="N303" s="9" t="n">
        <f aca="false">G303-F303</f>
        <v>-1.84</v>
      </c>
      <c r="O303" s="10" t="n">
        <f aca="false">IF(F303=0,"",G303/F303)</f>
        <v>0</v>
      </c>
      <c r="P303" s="9" t="n">
        <f aca="false">IF(H303&gt;0,1,0)</f>
        <v>1</v>
      </c>
      <c r="Q303" s="9" t="n">
        <f aca="false">IF(G303=0,1,0)</f>
        <v>1</v>
      </c>
      <c r="R303" s="9" t="str">
        <f aca="false">TEXT(A303,"mmm")</f>
        <v>Jul</v>
      </c>
      <c r="S303" s="9" t="n">
        <f aca="false">WEEKNUM(A303,2)</f>
        <v>29</v>
      </c>
      <c r="T303" s="9" t="str">
        <f aca="false">IF(A303&lt;DATE(2026,6,30),"1-Pre-outage",IF(A303&lt;DATE(2026,7,5),"2-Transition","3-Outage-heavy"))</f>
        <v>3-Outage-heavy</v>
      </c>
      <c r="U303" s="9" t="str">
        <f aca="false">IF(K303="","",IF(ISNUMBER(SEARCH("TURBINE",K303)),"Turbine",IF(ISNUMBER(SEARCH("GENERATOR",K303)),"Generator",IF(ISNUMBER(SEARCH("BOILER",K303)),"Boiler",IF(ISNUMBER(SEARCH("AIR PREHEATER",K303)),"Auxiliary",IF(ISNUMBER(SEARCH("ELECTRICAL",K303)),"Electrical","Other"))))))</f>
        <v>Generator</v>
      </c>
      <c r="V303" s="9" t="n">
        <f aca="false">AVERAGEIFS(G:G,B:B,B303,H:H,0)</f>
        <v>1.61181818181818</v>
      </c>
      <c r="W303" s="9" t="n">
        <f aca="false">IF(P303=1,MAX(0,V303-G303),0)</f>
        <v>1.61181818181818</v>
      </c>
    </row>
    <row r="304" customFormat="false" ht="15" hidden="false" customHeight="false" outlineLevel="0" collapsed="false">
      <c r="A304" s="8" t="n">
        <v>46222</v>
      </c>
      <c r="B304" s="9" t="n">
        <v>2</v>
      </c>
      <c r="C304" s="9" t="str">
        <f aca="false">"Unit "&amp;B304</f>
        <v>Unit 2</v>
      </c>
      <c r="D304" s="9"/>
      <c r="E304" s="9" t="n">
        <v>110</v>
      </c>
      <c r="F304" s="9" t="n">
        <v>1.87</v>
      </c>
      <c r="G304" s="9" t="n">
        <v>1.79</v>
      </c>
      <c r="H304" s="9" t="n">
        <v>0</v>
      </c>
      <c r="I304" s="9"/>
      <c r="J304" s="9"/>
      <c r="K304" s="9"/>
      <c r="L304" s="9" t="n">
        <f aca="false">E304*24/1000</f>
        <v>2.64</v>
      </c>
      <c r="M304" s="10" t="n">
        <f aca="false">G304/L304</f>
        <v>0.678030303030303</v>
      </c>
      <c r="N304" s="9" t="n">
        <f aca="false">G304-F304</f>
        <v>-0.0800000000000001</v>
      </c>
      <c r="O304" s="10" t="n">
        <f aca="false">IF(F304=0,"",G304/F304)</f>
        <v>0.957219251336898</v>
      </c>
      <c r="P304" s="9" t="n">
        <f aca="false">IF(H304&gt;0,1,0)</f>
        <v>0</v>
      </c>
      <c r="Q304" s="9" t="n">
        <f aca="false">IF(G304=0,1,0)</f>
        <v>0</v>
      </c>
      <c r="R304" s="9" t="str">
        <f aca="false">TEXT(A304,"mmm")</f>
        <v>Jul</v>
      </c>
      <c r="S304" s="9" t="n">
        <f aca="false">WEEKNUM(A304,2)</f>
        <v>29</v>
      </c>
      <c r="T304" s="9" t="str">
        <f aca="false">IF(A304&lt;DATE(2026,6,30),"1-Pre-outage",IF(A304&lt;DATE(2026,7,5),"2-Transition","3-Outage-heavy"))</f>
        <v>3-Outage-heavy</v>
      </c>
      <c r="U304" s="9" t="str">
        <f aca="false">IF(K304="","",IF(ISNUMBER(SEARCH("TURBINE",K304)),"Turbine",IF(ISNUMBER(SEARCH("GENERATOR",K304)),"Generator",IF(ISNUMBER(SEARCH("BOILER",K304)),"Boiler",IF(ISNUMBER(SEARCH("AIR PREHEATER",K304)),"Auxiliary",IF(ISNUMBER(SEARCH("ELECTRICAL",K304)),"Electrical","Other"))))))</f>
        <v/>
      </c>
      <c r="V304" s="9" t="n">
        <f aca="false">AVERAGEIFS(G:G,B:B,B304,H:H,0)</f>
        <v>1.67955555555556</v>
      </c>
      <c r="W304" s="9" t="n">
        <f aca="false">IF(P304=1,MAX(0,V304-G304),0)</f>
        <v>0</v>
      </c>
    </row>
    <row r="305" customFormat="false" ht="15" hidden="false" customHeight="false" outlineLevel="0" collapsed="false">
      <c r="A305" s="8" t="n">
        <v>46222</v>
      </c>
      <c r="B305" s="9" t="n">
        <v>3</v>
      </c>
      <c r="C305" s="9" t="str">
        <f aca="false">"Unit "&amp;B305</f>
        <v>Unit 3</v>
      </c>
      <c r="D305" s="9"/>
      <c r="E305" s="9" t="n">
        <v>210</v>
      </c>
      <c r="F305" s="9" t="n">
        <v>0</v>
      </c>
      <c r="G305" s="9" t="n">
        <v>3.86</v>
      </c>
      <c r="H305" s="9" t="n">
        <v>0</v>
      </c>
      <c r="I305" s="9"/>
      <c r="J305" s="9"/>
      <c r="K305" s="9"/>
      <c r="L305" s="9" t="n">
        <f aca="false">E305*24/1000</f>
        <v>5.04</v>
      </c>
      <c r="M305" s="10" t="n">
        <f aca="false">G305/L305</f>
        <v>0.765873015873016</v>
      </c>
      <c r="N305" s="9" t="n">
        <f aca="false">G305-F305</f>
        <v>3.86</v>
      </c>
      <c r="O305" s="10" t="str">
        <f aca="false">IF(F305=0,"",G305/F305)</f>
        <v/>
      </c>
      <c r="P305" s="9" t="n">
        <f aca="false">IF(H305&gt;0,1,0)</f>
        <v>0</v>
      </c>
      <c r="Q305" s="9" t="n">
        <f aca="false">IF(G305=0,1,0)</f>
        <v>0</v>
      </c>
      <c r="R305" s="9" t="str">
        <f aca="false">TEXT(A305,"mmm")</f>
        <v>Jul</v>
      </c>
      <c r="S305" s="9" t="n">
        <f aca="false">WEEKNUM(A305,2)</f>
        <v>29</v>
      </c>
      <c r="T305" s="9" t="str">
        <f aca="false">IF(A305&lt;DATE(2026,6,30),"1-Pre-outage",IF(A305&lt;DATE(2026,7,5),"2-Transition","3-Outage-heavy"))</f>
        <v>3-Outage-heavy</v>
      </c>
      <c r="U305" s="9" t="str">
        <f aca="false">IF(K305="","",IF(ISNUMBER(SEARCH("TURBINE",K305)),"Turbine",IF(ISNUMBER(SEARCH("GENERATOR",K305)),"Generator",IF(ISNUMBER(SEARCH("BOILER",K305)),"Boiler",IF(ISNUMBER(SEARCH("AIR PREHEATER",K305)),"Auxiliary",IF(ISNUMBER(SEARCH("ELECTRICAL",K305)),"Electrical","Other"))))))</f>
        <v/>
      </c>
      <c r="V305" s="9" t="n">
        <f aca="false">AVERAGEIFS(G:G,B:B,B305,H:H,0)</f>
        <v>3.72697674418605</v>
      </c>
      <c r="W305" s="9" t="n">
        <f aca="false">IF(P305=1,MAX(0,V305-G305),0)</f>
        <v>0</v>
      </c>
    </row>
    <row r="306" customFormat="false" ht="15" hidden="false" customHeight="false" outlineLevel="0" collapsed="false">
      <c r="A306" s="8" t="n">
        <v>46222</v>
      </c>
      <c r="B306" s="9" t="n">
        <v>4</v>
      </c>
      <c r="C306" s="9" t="str">
        <f aca="false">"Unit "&amp;B306</f>
        <v>Unit 4</v>
      </c>
      <c r="D306" s="9" t="s">
        <v>79</v>
      </c>
      <c r="E306" s="9" t="n">
        <v>210</v>
      </c>
      <c r="F306" s="9" t="n">
        <v>0</v>
      </c>
      <c r="G306" s="9" t="n">
        <v>0.06</v>
      </c>
      <c r="H306" s="9" t="n">
        <v>210</v>
      </c>
      <c r="I306" s="11" t="n">
        <v>46221.4180555556</v>
      </c>
      <c r="J306" s="11" t="n">
        <v>46222.9576388889</v>
      </c>
      <c r="K306" s="9" t="s">
        <v>102</v>
      </c>
      <c r="L306" s="9" t="n">
        <f aca="false">E306*24/1000</f>
        <v>5.04</v>
      </c>
      <c r="M306" s="10" t="n">
        <f aca="false">G306/L306</f>
        <v>0.0119047619047619</v>
      </c>
      <c r="N306" s="9" t="n">
        <f aca="false">G306-F306</f>
        <v>0.06</v>
      </c>
      <c r="O306" s="10" t="str">
        <f aca="false">IF(F306=0,"",G306/F306)</f>
        <v/>
      </c>
      <c r="P306" s="9" t="n">
        <f aca="false">IF(H306&gt;0,1,0)</f>
        <v>1</v>
      </c>
      <c r="Q306" s="9" t="n">
        <f aca="false">IF(G306=0,1,0)</f>
        <v>0</v>
      </c>
      <c r="R306" s="9" t="str">
        <f aca="false">TEXT(A306,"mmm")</f>
        <v>Jul</v>
      </c>
      <c r="S306" s="9" t="n">
        <f aca="false">WEEKNUM(A306,2)</f>
        <v>29</v>
      </c>
      <c r="T306" s="9" t="str">
        <f aca="false">IF(A306&lt;DATE(2026,6,30),"1-Pre-outage",IF(A306&lt;DATE(2026,7,5),"2-Transition","3-Outage-heavy"))</f>
        <v>3-Outage-heavy</v>
      </c>
      <c r="U306" s="9" t="str">
        <f aca="false">IF(K306="","",IF(ISNUMBER(SEARCH("TURBINE",K306)),"Turbine",IF(ISNUMBER(SEARCH("GENERATOR",K306)),"Generator",IF(ISNUMBER(SEARCH("BOILER",K306)),"Boiler",IF(ISNUMBER(SEARCH("AIR PREHEATER",K306)),"Auxiliary",IF(ISNUMBER(SEARCH("ELECTRICAL",K306)),"Electrical","Other"))))))</f>
        <v>Turbine</v>
      </c>
      <c r="V306" s="9" t="n">
        <f aca="false">AVERAGEIFS(G:G,B:B,B306,H:H,0)</f>
        <v>3.53586206896552</v>
      </c>
      <c r="W306" s="9" t="n">
        <f aca="false">IF(P306=1,MAX(0,V306-G306),0)</f>
        <v>3.47586206896552</v>
      </c>
    </row>
    <row r="307" customFormat="false" ht="15" hidden="false" customHeight="false" outlineLevel="0" collapsed="false">
      <c r="A307" s="8" t="n">
        <v>46222</v>
      </c>
      <c r="B307" s="9" t="n">
        <v>5</v>
      </c>
      <c r="C307" s="9" t="str">
        <f aca="false">"Unit "&amp;B307</f>
        <v>Unit 5</v>
      </c>
      <c r="D307" s="9"/>
      <c r="E307" s="9" t="n">
        <v>210</v>
      </c>
      <c r="F307" s="9" t="n">
        <v>3.81</v>
      </c>
      <c r="G307" s="9" t="n">
        <v>4.2</v>
      </c>
      <c r="H307" s="9" t="n">
        <v>0</v>
      </c>
      <c r="I307" s="9"/>
      <c r="J307" s="9"/>
      <c r="K307" s="9"/>
      <c r="L307" s="9" t="n">
        <f aca="false">E307*24/1000</f>
        <v>5.04</v>
      </c>
      <c r="M307" s="10" t="n">
        <f aca="false">G307/L307</f>
        <v>0.833333333333333</v>
      </c>
      <c r="N307" s="9" t="n">
        <f aca="false">G307-F307</f>
        <v>0.39</v>
      </c>
      <c r="O307" s="10" t="n">
        <f aca="false">IF(F307=0,"",G307/F307)</f>
        <v>1.10236220472441</v>
      </c>
      <c r="P307" s="9" t="n">
        <f aca="false">IF(H307&gt;0,1,0)</f>
        <v>0</v>
      </c>
      <c r="Q307" s="9" t="n">
        <f aca="false">IF(G307=0,1,0)</f>
        <v>0</v>
      </c>
      <c r="R307" s="9" t="str">
        <f aca="false">TEXT(A307,"mmm")</f>
        <v>Jul</v>
      </c>
      <c r="S307" s="9" t="n">
        <f aca="false">WEEKNUM(A307,2)</f>
        <v>29</v>
      </c>
      <c r="T307" s="9" t="str">
        <f aca="false">IF(A307&lt;DATE(2026,6,30),"1-Pre-outage",IF(A307&lt;DATE(2026,7,5),"2-Transition","3-Outage-heavy"))</f>
        <v>3-Outage-heavy</v>
      </c>
      <c r="U307" s="9" t="str">
        <f aca="false">IF(K307="","",IF(ISNUMBER(SEARCH("TURBINE",K307)),"Turbine",IF(ISNUMBER(SEARCH("GENERATOR",K307)),"Generator",IF(ISNUMBER(SEARCH("BOILER",K307)),"Boiler",IF(ISNUMBER(SEARCH("AIR PREHEATER",K307)),"Auxiliary",IF(ISNUMBER(SEARCH("ELECTRICAL",K307)),"Electrical","Other"))))))</f>
        <v/>
      </c>
      <c r="V307" s="9" t="n">
        <f aca="false">AVERAGEIFS(G:G,B:B,B307,H:H,0)</f>
        <v>3.98888888888889</v>
      </c>
      <c r="W307" s="9" t="n">
        <f aca="false">IF(P307=1,MAX(0,V307-G307),0)</f>
        <v>0</v>
      </c>
    </row>
    <row r="308" customFormat="false" ht="15" hidden="false" customHeight="false" outlineLevel="0" collapsed="false">
      <c r="A308" s="8" t="n">
        <v>46222</v>
      </c>
      <c r="B308" s="9" t="n">
        <v>6</v>
      </c>
      <c r="C308" s="9" t="str">
        <f aca="false">"Unit "&amp;B308</f>
        <v>Unit 6</v>
      </c>
      <c r="D308" s="9"/>
      <c r="E308" s="9" t="n">
        <v>195</v>
      </c>
      <c r="F308" s="9" t="n">
        <v>3.84</v>
      </c>
      <c r="G308" s="9" t="n">
        <v>3.96</v>
      </c>
      <c r="H308" s="9" t="n">
        <v>0</v>
      </c>
      <c r="I308" s="9"/>
      <c r="J308" s="9"/>
      <c r="K308" s="9"/>
      <c r="L308" s="9" t="n">
        <f aca="false">E308*24/1000</f>
        <v>4.68</v>
      </c>
      <c r="M308" s="10" t="n">
        <f aca="false">G308/L308</f>
        <v>0.846153846153846</v>
      </c>
      <c r="N308" s="9" t="n">
        <f aca="false">G308-F308</f>
        <v>0.12</v>
      </c>
      <c r="O308" s="10" t="n">
        <f aca="false">IF(F308=0,"",G308/F308)</f>
        <v>1.03125</v>
      </c>
      <c r="P308" s="9" t="n">
        <f aca="false">IF(H308&gt;0,1,0)</f>
        <v>0</v>
      </c>
      <c r="Q308" s="9" t="n">
        <f aca="false">IF(G308=0,1,0)</f>
        <v>0</v>
      </c>
      <c r="R308" s="9" t="str">
        <f aca="false">TEXT(A308,"mmm")</f>
        <v>Jul</v>
      </c>
      <c r="S308" s="9" t="n">
        <f aca="false">WEEKNUM(A308,2)</f>
        <v>29</v>
      </c>
      <c r="T308" s="9" t="str">
        <f aca="false">IF(A308&lt;DATE(2026,6,30),"1-Pre-outage",IF(A308&lt;DATE(2026,7,5),"2-Transition","3-Outage-heavy"))</f>
        <v>3-Outage-heavy</v>
      </c>
      <c r="U308" s="9" t="str">
        <f aca="false">IF(K308="","",IF(ISNUMBER(SEARCH("TURBINE",K308)),"Turbine",IF(ISNUMBER(SEARCH("GENERATOR",K308)),"Generator",IF(ISNUMBER(SEARCH("BOILER",K308)),"Boiler",IF(ISNUMBER(SEARCH("AIR PREHEATER",K308)),"Auxiliary",IF(ISNUMBER(SEARCH("ELECTRICAL",K308)),"Electrical","Other"))))))</f>
        <v/>
      </c>
      <c r="V308" s="9" t="n">
        <f aca="false">AVERAGEIFS(G:G,B:B,B308,H:H,0)</f>
        <v>3.85377777777778</v>
      </c>
      <c r="W308" s="9" t="n">
        <f aca="false">IF(P308=1,MAX(0,V308-G308),0)</f>
        <v>0</v>
      </c>
    </row>
    <row r="309" customFormat="false" ht="15" hidden="false" customHeight="false" outlineLevel="0" collapsed="false">
      <c r="A309" s="8" t="n">
        <v>46222</v>
      </c>
      <c r="B309" s="9" t="n">
        <v>7</v>
      </c>
      <c r="C309" s="9" t="str">
        <f aca="false">"Unit "&amp;B309</f>
        <v>Unit 7</v>
      </c>
      <c r="D309" s="9"/>
      <c r="E309" s="9" t="n">
        <v>195</v>
      </c>
      <c r="F309" s="9" t="n">
        <v>0</v>
      </c>
      <c r="G309" s="9" t="n">
        <v>4.33</v>
      </c>
      <c r="H309" s="9" t="n">
        <v>0</v>
      </c>
      <c r="I309" s="9"/>
      <c r="J309" s="9"/>
      <c r="K309" s="9"/>
      <c r="L309" s="9" t="n">
        <f aca="false">E309*24/1000</f>
        <v>4.68</v>
      </c>
      <c r="M309" s="10" t="n">
        <f aca="false">G309/L309</f>
        <v>0.925213675213675</v>
      </c>
      <c r="N309" s="9" t="n">
        <f aca="false">G309-F309</f>
        <v>4.33</v>
      </c>
      <c r="O309" s="10" t="str">
        <f aca="false">IF(F309=0,"",G309/F309)</f>
        <v/>
      </c>
      <c r="P309" s="9" t="n">
        <f aca="false">IF(H309&gt;0,1,0)</f>
        <v>0</v>
      </c>
      <c r="Q309" s="9" t="n">
        <f aca="false">IF(G309=0,1,0)</f>
        <v>0</v>
      </c>
      <c r="R309" s="9" t="str">
        <f aca="false">TEXT(A309,"mmm")</f>
        <v>Jul</v>
      </c>
      <c r="S309" s="9" t="n">
        <f aca="false">WEEKNUM(A309,2)</f>
        <v>29</v>
      </c>
      <c r="T309" s="9" t="str">
        <f aca="false">IF(A309&lt;DATE(2026,6,30),"1-Pre-outage",IF(A309&lt;DATE(2026,7,5),"2-Transition","3-Outage-heavy"))</f>
        <v>3-Outage-heavy</v>
      </c>
      <c r="U309" s="9" t="str">
        <f aca="false">IF(K309="","",IF(ISNUMBER(SEARCH("TURBINE",K309)),"Turbine",IF(ISNUMBER(SEARCH("GENERATOR",K309)),"Generator",IF(ISNUMBER(SEARCH("BOILER",K309)),"Boiler",IF(ISNUMBER(SEARCH("AIR PREHEATER",K309)),"Auxiliary",IF(ISNUMBER(SEARCH("ELECTRICAL",K309)),"Electrical","Other"))))))</f>
        <v/>
      </c>
      <c r="V309" s="9" t="n">
        <f aca="false">AVERAGEIFS(G:G,B:B,B309,H:H,0)</f>
        <v>3.98375</v>
      </c>
      <c r="W309" s="9" t="n">
        <f aca="false">IF(P309=1,MAX(0,V309-G309),0)</f>
        <v>0</v>
      </c>
    </row>
    <row r="310" customFormat="false" ht="15" hidden="false" customHeight="false" outlineLevel="0" collapsed="false">
      <c r="A310" s="8" t="n">
        <v>46223</v>
      </c>
      <c r="B310" s="9" t="n">
        <v>1</v>
      </c>
      <c r="C310" s="9" t="str">
        <f aca="false">"Unit "&amp;B310</f>
        <v>Unit 1</v>
      </c>
      <c r="D310" s="9" t="s">
        <v>76</v>
      </c>
      <c r="E310" s="9" t="n">
        <v>110</v>
      </c>
      <c r="F310" s="9" t="n">
        <v>1.84</v>
      </c>
      <c r="G310" s="9" t="n">
        <v>0</v>
      </c>
      <c r="H310" s="9" t="n">
        <v>110</v>
      </c>
      <c r="I310" s="11" t="n">
        <v>46212.0006944445</v>
      </c>
      <c r="J310" s="9"/>
      <c r="K310" s="9" t="s">
        <v>90</v>
      </c>
      <c r="L310" s="9" t="n">
        <f aca="false">E310*24/1000</f>
        <v>2.64</v>
      </c>
      <c r="M310" s="10" t="n">
        <f aca="false">G310/L310</f>
        <v>0</v>
      </c>
      <c r="N310" s="9" t="n">
        <f aca="false">G310-F310</f>
        <v>-1.84</v>
      </c>
      <c r="O310" s="10" t="n">
        <f aca="false">IF(F310=0,"",G310/F310)</f>
        <v>0</v>
      </c>
      <c r="P310" s="9" t="n">
        <f aca="false">IF(H310&gt;0,1,0)</f>
        <v>1</v>
      </c>
      <c r="Q310" s="9" t="n">
        <f aca="false">IF(G310=0,1,0)</f>
        <v>1</v>
      </c>
      <c r="R310" s="9" t="str">
        <f aca="false">TEXT(A310,"mmm")</f>
        <v>Jul</v>
      </c>
      <c r="S310" s="9" t="n">
        <f aca="false">WEEKNUM(A310,2)</f>
        <v>30</v>
      </c>
      <c r="T310" s="9" t="str">
        <f aca="false">IF(A310&lt;DATE(2026,6,30),"1-Pre-outage",IF(A310&lt;DATE(2026,7,5),"2-Transition","3-Outage-heavy"))</f>
        <v>3-Outage-heavy</v>
      </c>
      <c r="U310" s="9" t="str">
        <f aca="false">IF(K310="","",IF(ISNUMBER(SEARCH("TURBINE",K310)),"Turbine",IF(ISNUMBER(SEARCH("GENERATOR",K310)),"Generator",IF(ISNUMBER(SEARCH("BOILER",K310)),"Boiler",IF(ISNUMBER(SEARCH("AIR PREHEATER",K310)),"Auxiliary",IF(ISNUMBER(SEARCH("ELECTRICAL",K310)),"Electrical","Other"))))))</f>
        <v>Generator</v>
      </c>
      <c r="V310" s="9" t="n">
        <f aca="false">AVERAGEIFS(G:G,B:B,B310,H:H,0)</f>
        <v>1.61181818181818</v>
      </c>
      <c r="W310" s="9" t="n">
        <f aca="false">IF(P310=1,MAX(0,V310-G310),0)</f>
        <v>1.61181818181818</v>
      </c>
    </row>
    <row r="311" customFormat="false" ht="15" hidden="false" customHeight="false" outlineLevel="0" collapsed="false">
      <c r="A311" s="8" t="n">
        <v>46223</v>
      </c>
      <c r="B311" s="9" t="n">
        <v>2</v>
      </c>
      <c r="C311" s="9" t="str">
        <f aca="false">"Unit "&amp;B311</f>
        <v>Unit 2</v>
      </c>
      <c r="D311" s="9"/>
      <c r="E311" s="9" t="n">
        <v>110</v>
      </c>
      <c r="F311" s="9" t="n">
        <v>1.87</v>
      </c>
      <c r="G311" s="9" t="n">
        <v>1.83</v>
      </c>
      <c r="H311" s="9" t="n">
        <v>0</v>
      </c>
      <c r="I311" s="9"/>
      <c r="J311" s="9"/>
      <c r="K311" s="9"/>
      <c r="L311" s="9" t="n">
        <f aca="false">E311*24/1000</f>
        <v>2.64</v>
      </c>
      <c r="M311" s="10" t="n">
        <f aca="false">G311/L311</f>
        <v>0.693181818181818</v>
      </c>
      <c r="N311" s="9" t="n">
        <f aca="false">G311-F311</f>
        <v>-0.04</v>
      </c>
      <c r="O311" s="10" t="n">
        <f aca="false">IF(F311=0,"",G311/F311)</f>
        <v>0.978609625668449</v>
      </c>
      <c r="P311" s="9" t="n">
        <f aca="false">IF(H311&gt;0,1,0)</f>
        <v>0</v>
      </c>
      <c r="Q311" s="9" t="n">
        <f aca="false">IF(G311=0,1,0)</f>
        <v>0</v>
      </c>
      <c r="R311" s="9" t="str">
        <f aca="false">TEXT(A311,"mmm")</f>
        <v>Jul</v>
      </c>
      <c r="S311" s="9" t="n">
        <f aca="false">WEEKNUM(A311,2)</f>
        <v>30</v>
      </c>
      <c r="T311" s="9" t="str">
        <f aca="false">IF(A311&lt;DATE(2026,6,30),"1-Pre-outage",IF(A311&lt;DATE(2026,7,5),"2-Transition","3-Outage-heavy"))</f>
        <v>3-Outage-heavy</v>
      </c>
      <c r="U311" s="9" t="str">
        <f aca="false">IF(K311="","",IF(ISNUMBER(SEARCH("TURBINE",K311)),"Turbine",IF(ISNUMBER(SEARCH("GENERATOR",K311)),"Generator",IF(ISNUMBER(SEARCH("BOILER",K311)),"Boiler",IF(ISNUMBER(SEARCH("AIR PREHEATER",K311)),"Auxiliary",IF(ISNUMBER(SEARCH("ELECTRICAL",K311)),"Electrical","Other"))))))</f>
        <v/>
      </c>
      <c r="V311" s="9" t="n">
        <f aca="false">AVERAGEIFS(G:G,B:B,B311,H:H,0)</f>
        <v>1.67955555555556</v>
      </c>
      <c r="W311" s="9" t="n">
        <f aca="false">IF(P311=1,MAX(0,V311-G311),0)</f>
        <v>0</v>
      </c>
    </row>
    <row r="312" customFormat="false" ht="15" hidden="false" customHeight="false" outlineLevel="0" collapsed="false">
      <c r="A312" s="8" t="n">
        <v>46223</v>
      </c>
      <c r="B312" s="9" t="n">
        <v>3</v>
      </c>
      <c r="C312" s="9" t="str">
        <f aca="false">"Unit "&amp;B312</f>
        <v>Unit 3</v>
      </c>
      <c r="D312" s="9"/>
      <c r="E312" s="9" t="n">
        <v>210</v>
      </c>
      <c r="F312" s="9" t="n">
        <v>0</v>
      </c>
      <c r="G312" s="9" t="n">
        <v>3.83</v>
      </c>
      <c r="H312" s="9" t="n">
        <v>0</v>
      </c>
      <c r="I312" s="9"/>
      <c r="J312" s="9"/>
      <c r="K312" s="9"/>
      <c r="L312" s="9" t="n">
        <f aca="false">E312*24/1000</f>
        <v>5.04</v>
      </c>
      <c r="M312" s="10" t="n">
        <f aca="false">G312/L312</f>
        <v>0.759920634920635</v>
      </c>
      <c r="N312" s="9" t="n">
        <f aca="false">G312-F312</f>
        <v>3.83</v>
      </c>
      <c r="O312" s="10" t="str">
        <f aca="false">IF(F312=0,"",G312/F312)</f>
        <v/>
      </c>
      <c r="P312" s="9" t="n">
        <f aca="false">IF(H312&gt;0,1,0)</f>
        <v>0</v>
      </c>
      <c r="Q312" s="9" t="n">
        <f aca="false">IF(G312=0,1,0)</f>
        <v>0</v>
      </c>
      <c r="R312" s="9" t="str">
        <f aca="false">TEXT(A312,"mmm")</f>
        <v>Jul</v>
      </c>
      <c r="S312" s="9" t="n">
        <f aca="false">WEEKNUM(A312,2)</f>
        <v>30</v>
      </c>
      <c r="T312" s="9" t="str">
        <f aca="false">IF(A312&lt;DATE(2026,6,30),"1-Pre-outage",IF(A312&lt;DATE(2026,7,5),"2-Transition","3-Outage-heavy"))</f>
        <v>3-Outage-heavy</v>
      </c>
      <c r="U312" s="9" t="str">
        <f aca="false">IF(K312="","",IF(ISNUMBER(SEARCH("TURBINE",K312)),"Turbine",IF(ISNUMBER(SEARCH("GENERATOR",K312)),"Generator",IF(ISNUMBER(SEARCH("BOILER",K312)),"Boiler",IF(ISNUMBER(SEARCH("AIR PREHEATER",K312)),"Auxiliary",IF(ISNUMBER(SEARCH("ELECTRICAL",K312)),"Electrical","Other"))))))</f>
        <v/>
      </c>
      <c r="V312" s="9" t="n">
        <f aca="false">AVERAGEIFS(G:G,B:B,B312,H:H,0)</f>
        <v>3.72697674418605</v>
      </c>
      <c r="W312" s="9" t="n">
        <f aca="false">IF(P312=1,MAX(0,V312-G312),0)</f>
        <v>0</v>
      </c>
    </row>
    <row r="313" customFormat="false" ht="15" hidden="false" customHeight="false" outlineLevel="0" collapsed="false">
      <c r="A313" s="8" t="n">
        <v>46223</v>
      </c>
      <c r="B313" s="9" t="n">
        <v>4</v>
      </c>
      <c r="C313" s="9" t="str">
        <f aca="false">"Unit "&amp;B313</f>
        <v>Unit 4</v>
      </c>
      <c r="D313" s="9" t="s">
        <v>76</v>
      </c>
      <c r="E313" s="9" t="n">
        <v>210</v>
      </c>
      <c r="F313" s="9" t="n">
        <v>0</v>
      </c>
      <c r="G313" s="9" t="n">
        <v>0.08</v>
      </c>
      <c r="H313" s="9" t="n">
        <v>210</v>
      </c>
      <c r="I313" s="11" t="n">
        <v>46223.0479166667</v>
      </c>
      <c r="J313" s="9"/>
      <c r="K313" s="9" t="s">
        <v>102</v>
      </c>
      <c r="L313" s="9" t="n">
        <f aca="false">E313*24/1000</f>
        <v>5.04</v>
      </c>
      <c r="M313" s="10" t="n">
        <f aca="false">G313/L313</f>
        <v>0.0158730158730159</v>
      </c>
      <c r="N313" s="9" t="n">
        <f aca="false">G313-F313</f>
        <v>0.08</v>
      </c>
      <c r="O313" s="10" t="str">
        <f aca="false">IF(F313=0,"",G313/F313)</f>
        <v/>
      </c>
      <c r="P313" s="9" t="n">
        <f aca="false">IF(H313&gt;0,1,0)</f>
        <v>1</v>
      </c>
      <c r="Q313" s="9" t="n">
        <f aca="false">IF(G313=0,1,0)</f>
        <v>0</v>
      </c>
      <c r="R313" s="9" t="str">
        <f aca="false">TEXT(A313,"mmm")</f>
        <v>Jul</v>
      </c>
      <c r="S313" s="9" t="n">
        <f aca="false">WEEKNUM(A313,2)</f>
        <v>30</v>
      </c>
      <c r="T313" s="9" t="str">
        <f aca="false">IF(A313&lt;DATE(2026,6,30),"1-Pre-outage",IF(A313&lt;DATE(2026,7,5),"2-Transition","3-Outage-heavy"))</f>
        <v>3-Outage-heavy</v>
      </c>
      <c r="U313" s="9" t="str">
        <f aca="false">IF(K313="","",IF(ISNUMBER(SEARCH("TURBINE",K313)),"Turbine",IF(ISNUMBER(SEARCH("GENERATOR",K313)),"Generator",IF(ISNUMBER(SEARCH("BOILER",K313)),"Boiler",IF(ISNUMBER(SEARCH("AIR PREHEATER",K313)),"Auxiliary",IF(ISNUMBER(SEARCH("ELECTRICAL",K313)),"Electrical","Other"))))))</f>
        <v>Turbine</v>
      </c>
      <c r="V313" s="9" t="n">
        <f aca="false">AVERAGEIFS(G:G,B:B,B313,H:H,0)</f>
        <v>3.53586206896552</v>
      </c>
      <c r="W313" s="9" t="n">
        <f aca="false">IF(P313=1,MAX(0,V313-G313),0)</f>
        <v>3.45586206896552</v>
      </c>
    </row>
    <row r="314" customFormat="false" ht="15" hidden="false" customHeight="false" outlineLevel="0" collapsed="false">
      <c r="A314" s="8" t="n">
        <v>46223</v>
      </c>
      <c r="B314" s="9" t="n">
        <v>5</v>
      </c>
      <c r="C314" s="9" t="str">
        <f aca="false">"Unit "&amp;B314</f>
        <v>Unit 5</v>
      </c>
      <c r="D314" s="9"/>
      <c r="E314" s="9" t="n">
        <v>210</v>
      </c>
      <c r="F314" s="9" t="n">
        <v>3.81</v>
      </c>
      <c r="G314" s="9" t="n">
        <v>4.17</v>
      </c>
      <c r="H314" s="9" t="n">
        <v>0</v>
      </c>
      <c r="I314" s="9"/>
      <c r="J314" s="9"/>
      <c r="K314" s="9"/>
      <c r="L314" s="9" t="n">
        <f aca="false">E314*24/1000</f>
        <v>5.04</v>
      </c>
      <c r="M314" s="10" t="n">
        <f aca="false">G314/L314</f>
        <v>0.827380952380952</v>
      </c>
      <c r="N314" s="9" t="n">
        <f aca="false">G314-F314</f>
        <v>0.36</v>
      </c>
      <c r="O314" s="10" t="n">
        <f aca="false">IF(F314=0,"",G314/F314)</f>
        <v>1.09448818897638</v>
      </c>
      <c r="P314" s="9" t="n">
        <f aca="false">IF(H314&gt;0,1,0)</f>
        <v>0</v>
      </c>
      <c r="Q314" s="9" t="n">
        <f aca="false">IF(G314=0,1,0)</f>
        <v>0</v>
      </c>
      <c r="R314" s="9" t="str">
        <f aca="false">TEXT(A314,"mmm")</f>
        <v>Jul</v>
      </c>
      <c r="S314" s="9" t="n">
        <f aca="false">WEEKNUM(A314,2)</f>
        <v>30</v>
      </c>
      <c r="T314" s="9" t="str">
        <f aca="false">IF(A314&lt;DATE(2026,6,30),"1-Pre-outage",IF(A314&lt;DATE(2026,7,5),"2-Transition","3-Outage-heavy"))</f>
        <v>3-Outage-heavy</v>
      </c>
      <c r="U314" s="9" t="str">
        <f aca="false">IF(K314="","",IF(ISNUMBER(SEARCH("TURBINE",K314)),"Turbine",IF(ISNUMBER(SEARCH("GENERATOR",K314)),"Generator",IF(ISNUMBER(SEARCH("BOILER",K314)),"Boiler",IF(ISNUMBER(SEARCH("AIR PREHEATER",K314)),"Auxiliary",IF(ISNUMBER(SEARCH("ELECTRICAL",K314)),"Electrical","Other"))))))</f>
        <v/>
      </c>
      <c r="V314" s="9" t="n">
        <f aca="false">AVERAGEIFS(G:G,B:B,B314,H:H,0)</f>
        <v>3.98888888888889</v>
      </c>
      <c r="W314" s="9" t="n">
        <f aca="false">IF(P314=1,MAX(0,V314-G314),0)</f>
        <v>0</v>
      </c>
    </row>
    <row r="315" customFormat="false" ht="15" hidden="false" customHeight="false" outlineLevel="0" collapsed="false">
      <c r="A315" s="8" t="n">
        <v>46223</v>
      </c>
      <c r="B315" s="9" t="n">
        <v>6</v>
      </c>
      <c r="C315" s="9" t="str">
        <f aca="false">"Unit "&amp;B315</f>
        <v>Unit 6</v>
      </c>
      <c r="D315" s="9"/>
      <c r="E315" s="9" t="n">
        <v>195</v>
      </c>
      <c r="F315" s="9" t="n">
        <v>3.84</v>
      </c>
      <c r="G315" s="9" t="n">
        <v>3.98</v>
      </c>
      <c r="H315" s="9" t="n">
        <v>0</v>
      </c>
      <c r="I315" s="9"/>
      <c r="J315" s="9"/>
      <c r="K315" s="9"/>
      <c r="L315" s="9" t="n">
        <f aca="false">E315*24/1000</f>
        <v>4.68</v>
      </c>
      <c r="M315" s="10" t="n">
        <f aca="false">G315/L315</f>
        <v>0.850427350427351</v>
      </c>
      <c r="N315" s="9" t="n">
        <f aca="false">G315-F315</f>
        <v>0.14</v>
      </c>
      <c r="O315" s="10" t="n">
        <f aca="false">IF(F315=0,"",G315/F315)</f>
        <v>1.03645833333333</v>
      </c>
      <c r="P315" s="9" t="n">
        <f aca="false">IF(H315&gt;0,1,0)</f>
        <v>0</v>
      </c>
      <c r="Q315" s="9" t="n">
        <f aca="false">IF(G315=0,1,0)</f>
        <v>0</v>
      </c>
      <c r="R315" s="9" t="str">
        <f aca="false">TEXT(A315,"mmm")</f>
        <v>Jul</v>
      </c>
      <c r="S315" s="9" t="n">
        <f aca="false">WEEKNUM(A315,2)</f>
        <v>30</v>
      </c>
      <c r="T315" s="9" t="str">
        <f aca="false">IF(A315&lt;DATE(2026,6,30),"1-Pre-outage",IF(A315&lt;DATE(2026,7,5),"2-Transition","3-Outage-heavy"))</f>
        <v>3-Outage-heavy</v>
      </c>
      <c r="U315" s="9" t="str">
        <f aca="false">IF(K315="","",IF(ISNUMBER(SEARCH("TURBINE",K315)),"Turbine",IF(ISNUMBER(SEARCH("GENERATOR",K315)),"Generator",IF(ISNUMBER(SEARCH("BOILER",K315)),"Boiler",IF(ISNUMBER(SEARCH("AIR PREHEATER",K315)),"Auxiliary",IF(ISNUMBER(SEARCH("ELECTRICAL",K315)),"Electrical","Other"))))))</f>
        <v/>
      </c>
      <c r="V315" s="9" t="n">
        <f aca="false">AVERAGEIFS(G:G,B:B,B315,H:H,0)</f>
        <v>3.85377777777778</v>
      </c>
      <c r="W315" s="9" t="n">
        <f aca="false">IF(P315=1,MAX(0,V315-G315),0)</f>
        <v>0</v>
      </c>
    </row>
    <row r="316" customFormat="false" ht="15" hidden="false" customHeight="false" outlineLevel="0" collapsed="false">
      <c r="A316" s="8" t="n">
        <v>46223</v>
      </c>
      <c r="B316" s="9" t="n">
        <v>7</v>
      </c>
      <c r="C316" s="9" t="str">
        <f aca="false">"Unit "&amp;B316</f>
        <v>Unit 7</v>
      </c>
      <c r="D316" s="9"/>
      <c r="E316" s="9" t="n">
        <v>195</v>
      </c>
      <c r="F316" s="9" t="n">
        <v>0</v>
      </c>
      <c r="G316" s="9" t="n">
        <v>4.35</v>
      </c>
      <c r="H316" s="9" t="n">
        <v>0</v>
      </c>
      <c r="I316" s="9"/>
      <c r="J316" s="9"/>
      <c r="K316" s="9"/>
      <c r="L316" s="9" t="n">
        <f aca="false">E316*24/1000</f>
        <v>4.68</v>
      </c>
      <c r="M316" s="10" t="n">
        <f aca="false">G316/L316</f>
        <v>0.92948717948718</v>
      </c>
      <c r="N316" s="9" t="n">
        <f aca="false">G316-F316</f>
        <v>4.35</v>
      </c>
      <c r="O316" s="10" t="str">
        <f aca="false">IF(F316=0,"",G316/F316)</f>
        <v/>
      </c>
      <c r="P316" s="9" t="n">
        <f aca="false">IF(H316&gt;0,1,0)</f>
        <v>0</v>
      </c>
      <c r="Q316" s="9" t="n">
        <f aca="false">IF(G316=0,1,0)</f>
        <v>0</v>
      </c>
      <c r="R316" s="9" t="str">
        <f aca="false">TEXT(A316,"mmm")</f>
        <v>Jul</v>
      </c>
      <c r="S316" s="9" t="n">
        <f aca="false">WEEKNUM(A316,2)</f>
        <v>30</v>
      </c>
      <c r="T316" s="9" t="str">
        <f aca="false">IF(A316&lt;DATE(2026,6,30),"1-Pre-outage",IF(A316&lt;DATE(2026,7,5),"2-Transition","3-Outage-heavy"))</f>
        <v>3-Outage-heavy</v>
      </c>
      <c r="U316" s="9" t="str">
        <f aca="false">IF(K316="","",IF(ISNUMBER(SEARCH("TURBINE",K316)),"Turbine",IF(ISNUMBER(SEARCH("GENERATOR",K316)),"Generator",IF(ISNUMBER(SEARCH("BOILER",K316)),"Boiler",IF(ISNUMBER(SEARCH("AIR PREHEATER",K316)),"Auxiliary",IF(ISNUMBER(SEARCH("ELECTRICAL",K316)),"Electrical","Other"))))))</f>
        <v/>
      </c>
      <c r="V316" s="9" t="n">
        <f aca="false">AVERAGEIFS(G:G,B:B,B316,H:H,0)</f>
        <v>3.98375</v>
      </c>
      <c r="W316" s="9" t="n">
        <f aca="false">IF(P316=1,MAX(0,V316-G316),0)</f>
        <v>0</v>
      </c>
    </row>
  </sheetData>
  <autoFilter ref="A1:W3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7" min="6" style="0" width="12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3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4" min="14" style="0" width="19"/>
    <col collapsed="false" customWidth="true" hidden="false" outlineLevel="0" max="15" min="15" style="0" width="18"/>
    <col collapsed="false" customWidth="true" hidden="false" outlineLevel="0" max="16" min="16" style="0" width="28"/>
  </cols>
  <sheetData>
    <row r="1" customFormat="false" ht="30" hidden="false" customHeight="true" outlineLevel="0" collapsed="false">
      <c r="A1" s="4" t="s">
        <v>32</v>
      </c>
      <c r="B1" s="4" t="s">
        <v>106</v>
      </c>
      <c r="C1" s="4" t="s">
        <v>107</v>
      </c>
      <c r="D1" s="4" t="s">
        <v>108</v>
      </c>
      <c r="E1" s="4" t="s">
        <v>124</v>
      </c>
      <c r="F1" s="4" t="s">
        <v>109</v>
      </c>
      <c r="G1" s="4" t="s">
        <v>46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125</v>
      </c>
      <c r="M1" s="4" t="s">
        <v>120</v>
      </c>
      <c r="N1" s="4" t="s">
        <v>126</v>
      </c>
      <c r="O1" s="4" t="s">
        <v>127</v>
      </c>
      <c r="P1" s="4" t="s">
        <v>128</v>
      </c>
    </row>
    <row r="2" customFormat="false" ht="15" hidden="false" customHeight="false" outlineLevel="0" collapsed="false">
      <c r="A2" s="8" t="n">
        <v>46179</v>
      </c>
      <c r="B2" s="9" t="n">
        <v>1240</v>
      </c>
      <c r="C2" s="9" t="n">
        <v>23.96</v>
      </c>
      <c r="D2" s="9" t="n">
        <v>22.22</v>
      </c>
      <c r="E2" s="9" t="n">
        <v>15</v>
      </c>
      <c r="F2" s="9" t="n">
        <v>0</v>
      </c>
      <c r="G2" s="9"/>
      <c r="H2" s="9" t="n">
        <f aca="false">B2*24/1000</f>
        <v>29.76</v>
      </c>
      <c r="I2" s="10" t="n">
        <f aca="false">D2/H2</f>
        <v>0.746639784946237</v>
      </c>
      <c r="J2" s="9" t="n">
        <f aca="false">D2-C2</f>
        <v>-1.74</v>
      </c>
      <c r="K2" s="10" t="n">
        <f aca="false">IF(C2=0,"",D2/C2)</f>
        <v>0.927378964941569</v>
      </c>
      <c r="L2" s="10" t="n">
        <f aca="false">(B2-F2)/B2</f>
        <v>1</v>
      </c>
      <c r="M2" s="9" t="str">
        <f aca="false">IF(A2&lt;DATE(2026,6,30),"1-Pre-outage",IF(A2&lt;DATE(2026,7,5),"2-Transition","3-Outage-heavy"))</f>
        <v>1-Pre-outage</v>
      </c>
      <c r="N2" s="9"/>
      <c r="O2" s="9"/>
      <c r="P2" s="9" t="n">
        <f aca="false">ROUND(SUMIFS(Unit_Daily!G:G,Unit_Daily!A:A,A2)-D2,2)</f>
        <v>0</v>
      </c>
    </row>
    <row r="3" customFormat="false" ht="15" hidden="false" customHeight="false" outlineLevel="0" collapsed="false">
      <c r="A3" s="8" t="n">
        <v>46180</v>
      </c>
      <c r="B3" s="9" t="n">
        <v>1240</v>
      </c>
      <c r="C3" s="9" t="n">
        <v>23.96</v>
      </c>
      <c r="D3" s="9" t="n">
        <v>21.88</v>
      </c>
      <c r="E3" s="9" t="n">
        <v>14</v>
      </c>
      <c r="F3" s="9" t="n">
        <v>0</v>
      </c>
      <c r="G3" s="9"/>
      <c r="H3" s="9" t="n">
        <f aca="false">B3*24/1000</f>
        <v>29.76</v>
      </c>
      <c r="I3" s="10" t="n">
        <f aca="false">D3/H3</f>
        <v>0.735215053763441</v>
      </c>
      <c r="J3" s="9" t="n">
        <f aca="false">D3-C3</f>
        <v>-2.08</v>
      </c>
      <c r="K3" s="10" t="n">
        <f aca="false">IF(C3=0,"",D3/C3)</f>
        <v>0.913188647746244</v>
      </c>
      <c r="L3" s="10" t="n">
        <f aca="false">(B3-F3)/B3</f>
        <v>1</v>
      </c>
      <c r="M3" s="9" t="str">
        <f aca="false">IF(A3&lt;DATE(2026,6,30),"1-Pre-outage",IF(A3&lt;DATE(2026,7,5),"2-Transition","3-Outage-heavy"))</f>
        <v>1-Pre-outage</v>
      </c>
      <c r="N3" s="9"/>
      <c r="O3" s="9" t="n">
        <f aca="false">E3-E2</f>
        <v>-1</v>
      </c>
      <c r="P3" s="9" t="n">
        <f aca="false">ROUND(SUMIFS(Unit_Daily!G:G,Unit_Daily!A:A,A3)-D3,2)</f>
        <v>0</v>
      </c>
    </row>
    <row r="4" customFormat="false" ht="15" hidden="false" customHeight="false" outlineLevel="0" collapsed="false">
      <c r="A4" s="8" t="n">
        <v>46181</v>
      </c>
      <c r="B4" s="9" t="n">
        <v>1240</v>
      </c>
      <c r="C4" s="9" t="n">
        <v>23.96</v>
      </c>
      <c r="D4" s="9" t="n">
        <v>21.95</v>
      </c>
      <c r="E4" s="9" t="n">
        <v>14</v>
      </c>
      <c r="F4" s="9" t="n">
        <v>0</v>
      </c>
      <c r="G4" s="9"/>
      <c r="H4" s="9" t="n">
        <f aca="false">B4*24/1000</f>
        <v>29.76</v>
      </c>
      <c r="I4" s="10" t="n">
        <f aca="false">D4/H4</f>
        <v>0.737567204301075</v>
      </c>
      <c r="J4" s="9" t="n">
        <f aca="false">D4-C4</f>
        <v>-2.01</v>
      </c>
      <c r="K4" s="10" t="n">
        <f aca="false">IF(C4=0,"",D4/C4)</f>
        <v>0.916110183639399</v>
      </c>
      <c r="L4" s="10" t="n">
        <f aca="false">(B4-F4)/B4</f>
        <v>1</v>
      </c>
      <c r="M4" s="9" t="str">
        <f aca="false">IF(A4&lt;DATE(2026,6,30),"1-Pre-outage",IF(A4&lt;DATE(2026,7,5),"2-Transition","3-Outage-heavy"))</f>
        <v>1-Pre-outage</v>
      </c>
      <c r="N4" s="9"/>
      <c r="O4" s="9" t="n">
        <f aca="false">E4-E3</f>
        <v>0</v>
      </c>
      <c r="P4" s="9" t="n">
        <f aca="false">ROUND(SUMIFS(Unit_Daily!G:G,Unit_Daily!A:A,A4)-D4,2)</f>
        <v>0</v>
      </c>
    </row>
    <row r="5" customFormat="false" ht="15" hidden="false" customHeight="false" outlineLevel="0" collapsed="false">
      <c r="A5" s="8" t="n">
        <v>46182</v>
      </c>
      <c r="B5" s="9" t="n">
        <v>1240</v>
      </c>
      <c r="C5" s="9" t="n">
        <v>23.96</v>
      </c>
      <c r="D5" s="9" t="n">
        <v>22.45</v>
      </c>
      <c r="E5" s="9" t="n">
        <v>14</v>
      </c>
      <c r="F5" s="9" t="n">
        <v>0</v>
      </c>
      <c r="G5" s="9"/>
      <c r="H5" s="9" t="n">
        <f aca="false">B5*24/1000</f>
        <v>29.76</v>
      </c>
      <c r="I5" s="10" t="n">
        <f aca="false">D5/H5</f>
        <v>0.754368279569892</v>
      </c>
      <c r="J5" s="9" t="n">
        <f aca="false">D5-C5</f>
        <v>-1.51</v>
      </c>
      <c r="K5" s="10" t="n">
        <f aca="false">IF(C5=0,"",D5/C5)</f>
        <v>0.936978297161937</v>
      </c>
      <c r="L5" s="10" t="n">
        <f aca="false">(B5-F5)/B5</f>
        <v>1</v>
      </c>
      <c r="M5" s="9" t="str">
        <f aca="false">IF(A5&lt;DATE(2026,6,30),"1-Pre-outage",IF(A5&lt;DATE(2026,7,5),"2-Transition","3-Outage-heavy"))</f>
        <v>1-Pre-outage</v>
      </c>
      <c r="N5" s="9"/>
      <c r="O5" s="9" t="n">
        <f aca="false">E5-E4</f>
        <v>0</v>
      </c>
      <c r="P5" s="9" t="n">
        <f aca="false">ROUND(SUMIFS(Unit_Daily!G:G,Unit_Daily!A:A,A5)-D5,2)</f>
        <v>0</v>
      </c>
    </row>
    <row r="6" customFormat="false" ht="15" hidden="false" customHeight="false" outlineLevel="0" collapsed="false">
      <c r="A6" s="8" t="n">
        <v>46183</v>
      </c>
      <c r="B6" s="9" t="n">
        <v>1240</v>
      </c>
      <c r="C6" s="9" t="n">
        <v>23.96</v>
      </c>
      <c r="D6" s="9" t="n">
        <v>22.6</v>
      </c>
      <c r="E6" s="9" t="n">
        <v>14</v>
      </c>
      <c r="F6" s="9" t="n">
        <v>0</v>
      </c>
      <c r="G6" s="9"/>
      <c r="H6" s="9" t="n">
        <f aca="false">B6*24/1000</f>
        <v>29.76</v>
      </c>
      <c r="I6" s="10" t="n">
        <f aca="false">D6/H6</f>
        <v>0.759408602150538</v>
      </c>
      <c r="J6" s="9" t="n">
        <f aca="false">D6-C6</f>
        <v>-1.36</v>
      </c>
      <c r="K6" s="10" t="n">
        <f aca="false">IF(C6=0,"",D6/C6)</f>
        <v>0.943238731218698</v>
      </c>
      <c r="L6" s="10" t="n">
        <f aca="false">(B6-F6)/B6</f>
        <v>1</v>
      </c>
      <c r="M6" s="9" t="str">
        <f aca="false">IF(A6&lt;DATE(2026,6,30),"1-Pre-outage",IF(A6&lt;DATE(2026,7,5),"2-Transition","3-Outage-heavy"))</f>
        <v>1-Pre-outage</v>
      </c>
      <c r="N6" s="9"/>
      <c r="O6" s="9" t="n">
        <f aca="false">E6-E5</f>
        <v>0</v>
      </c>
      <c r="P6" s="9" t="n">
        <f aca="false">ROUND(SUMIFS(Unit_Daily!G:G,Unit_Daily!A:A,A6)-D6,2)</f>
        <v>0</v>
      </c>
    </row>
    <row r="7" customFormat="false" ht="15" hidden="false" customHeight="false" outlineLevel="0" collapsed="false">
      <c r="A7" s="8" t="n">
        <v>46184</v>
      </c>
      <c r="B7" s="9" t="n">
        <v>1240</v>
      </c>
      <c r="C7" s="9" t="n">
        <v>23.96</v>
      </c>
      <c r="D7" s="9" t="n">
        <v>22.28</v>
      </c>
      <c r="E7" s="9" t="n">
        <v>14</v>
      </c>
      <c r="F7" s="9" t="n">
        <v>0</v>
      </c>
      <c r="G7" s="9"/>
      <c r="H7" s="9" t="n">
        <f aca="false">B7*24/1000</f>
        <v>29.76</v>
      </c>
      <c r="I7" s="10" t="n">
        <f aca="false">D7/H7</f>
        <v>0.748655913978495</v>
      </c>
      <c r="J7" s="9" t="n">
        <f aca="false">D7-C7</f>
        <v>-1.68</v>
      </c>
      <c r="K7" s="10" t="n">
        <f aca="false">IF(C7=0,"",D7/C7)</f>
        <v>0.929883138564274</v>
      </c>
      <c r="L7" s="10" t="n">
        <f aca="false">(B7-F7)/B7</f>
        <v>1</v>
      </c>
      <c r="M7" s="9" t="str">
        <f aca="false">IF(A7&lt;DATE(2026,6,30),"1-Pre-outage",IF(A7&lt;DATE(2026,7,5),"2-Transition","3-Outage-heavy"))</f>
        <v>1-Pre-outage</v>
      </c>
      <c r="N7" s="9"/>
      <c r="O7" s="9" t="n">
        <f aca="false">E7-E6</f>
        <v>0</v>
      </c>
      <c r="P7" s="9" t="n">
        <f aca="false">ROUND(SUMIFS(Unit_Daily!G:G,Unit_Daily!A:A,A7)-D7,2)</f>
        <v>0</v>
      </c>
    </row>
    <row r="8" customFormat="false" ht="15" hidden="false" customHeight="false" outlineLevel="0" collapsed="false">
      <c r="A8" s="8" t="n">
        <v>46185</v>
      </c>
      <c r="B8" s="9" t="n">
        <v>1240</v>
      </c>
      <c r="C8" s="9" t="n">
        <v>23.96</v>
      </c>
      <c r="D8" s="9" t="n">
        <v>21.58</v>
      </c>
      <c r="E8" s="9" t="n">
        <v>14</v>
      </c>
      <c r="F8" s="9" t="n">
        <v>0</v>
      </c>
      <c r="G8" s="9"/>
      <c r="H8" s="9" t="n">
        <f aca="false">B8*24/1000</f>
        <v>29.76</v>
      </c>
      <c r="I8" s="10" t="n">
        <f aca="false">D8/H8</f>
        <v>0.72513440860215</v>
      </c>
      <c r="J8" s="9" t="n">
        <f aca="false">D8-C8</f>
        <v>-2.38</v>
      </c>
      <c r="K8" s="10" t="n">
        <f aca="false">IF(C8=0,"",D8/C8)</f>
        <v>0.900667779632721</v>
      </c>
      <c r="L8" s="10" t="n">
        <f aca="false">(B8-F8)/B8</f>
        <v>1</v>
      </c>
      <c r="M8" s="9" t="str">
        <f aca="false">IF(A8&lt;DATE(2026,6,30),"1-Pre-outage",IF(A8&lt;DATE(2026,7,5),"2-Transition","3-Outage-heavy"))</f>
        <v>1-Pre-outage</v>
      </c>
      <c r="N8" s="9" t="n">
        <f aca="false">AVERAGE(D2:D8)</f>
        <v>22.1371428571429</v>
      </c>
      <c r="O8" s="9" t="n">
        <f aca="false">E8-E7</f>
        <v>0</v>
      </c>
      <c r="P8" s="9" t="n">
        <f aca="false">ROUND(SUMIFS(Unit_Daily!G:G,Unit_Daily!A:A,A8)-D8,2)</f>
        <v>0</v>
      </c>
    </row>
    <row r="9" customFormat="false" ht="15" hidden="false" customHeight="false" outlineLevel="0" collapsed="false">
      <c r="A9" s="8" t="n">
        <v>46186</v>
      </c>
      <c r="B9" s="9" t="n">
        <v>1240</v>
      </c>
      <c r="C9" s="9" t="n">
        <v>23.96</v>
      </c>
      <c r="D9" s="9" t="n">
        <v>21.74</v>
      </c>
      <c r="E9" s="9" t="n">
        <v>14</v>
      </c>
      <c r="F9" s="9" t="n">
        <v>0</v>
      </c>
      <c r="G9" s="9"/>
      <c r="H9" s="9" t="n">
        <f aca="false">B9*24/1000</f>
        <v>29.76</v>
      </c>
      <c r="I9" s="10" t="n">
        <f aca="false">D9/H9</f>
        <v>0.730510752688172</v>
      </c>
      <c r="J9" s="9" t="n">
        <f aca="false">D9-C9</f>
        <v>-2.22</v>
      </c>
      <c r="K9" s="10" t="n">
        <f aca="false">IF(C9=0,"",D9/C9)</f>
        <v>0.907345575959933</v>
      </c>
      <c r="L9" s="10" t="n">
        <f aca="false">(B9-F9)/B9</f>
        <v>1</v>
      </c>
      <c r="M9" s="9" t="str">
        <f aca="false">IF(A9&lt;DATE(2026,6,30),"1-Pre-outage",IF(A9&lt;DATE(2026,7,5),"2-Transition","3-Outage-heavy"))</f>
        <v>1-Pre-outage</v>
      </c>
      <c r="N9" s="9" t="n">
        <f aca="false">AVERAGE(D3:D9)</f>
        <v>22.0685714285714</v>
      </c>
      <c r="O9" s="9" t="n">
        <f aca="false">E9-E8</f>
        <v>0</v>
      </c>
      <c r="P9" s="9" t="n">
        <f aca="false">ROUND(SUMIFS(Unit_Daily!G:G,Unit_Daily!A:A,A9)-D9,2)</f>
        <v>0</v>
      </c>
    </row>
    <row r="10" customFormat="false" ht="15" hidden="false" customHeight="false" outlineLevel="0" collapsed="false">
      <c r="A10" s="8" t="n">
        <v>46187</v>
      </c>
      <c r="B10" s="9" t="n">
        <v>1240</v>
      </c>
      <c r="C10" s="9" t="n">
        <v>23.96</v>
      </c>
      <c r="D10" s="9" t="n">
        <v>21.02</v>
      </c>
      <c r="E10" s="9" t="n">
        <v>13</v>
      </c>
      <c r="F10" s="9" t="n">
        <v>0</v>
      </c>
      <c r="G10" s="9"/>
      <c r="H10" s="9" t="n">
        <f aca="false">B10*24/1000</f>
        <v>29.76</v>
      </c>
      <c r="I10" s="10" t="n">
        <f aca="false">D10/H10</f>
        <v>0.706317204301075</v>
      </c>
      <c r="J10" s="9" t="n">
        <f aca="false">D10-C10</f>
        <v>-2.94</v>
      </c>
      <c r="K10" s="10" t="n">
        <f aca="false">IF(C10=0,"",D10/C10)</f>
        <v>0.877295492487479</v>
      </c>
      <c r="L10" s="10" t="n">
        <f aca="false">(B10-F10)/B10</f>
        <v>1</v>
      </c>
      <c r="M10" s="9" t="str">
        <f aca="false">IF(A10&lt;DATE(2026,6,30),"1-Pre-outage",IF(A10&lt;DATE(2026,7,5),"2-Transition","3-Outage-heavy"))</f>
        <v>1-Pre-outage</v>
      </c>
      <c r="N10" s="9" t="n">
        <f aca="false">AVERAGE(D4:D10)</f>
        <v>21.9457142857143</v>
      </c>
      <c r="O10" s="9" t="n">
        <f aca="false">E10-E9</f>
        <v>-1</v>
      </c>
      <c r="P10" s="9" t="n">
        <f aca="false">ROUND(SUMIFS(Unit_Daily!G:G,Unit_Daily!A:A,A10)-D10,2)</f>
        <v>0</v>
      </c>
    </row>
    <row r="11" customFormat="false" ht="15" hidden="false" customHeight="false" outlineLevel="0" collapsed="false">
      <c r="A11" s="8" t="n">
        <v>46188</v>
      </c>
      <c r="B11" s="9" t="n">
        <v>1240</v>
      </c>
      <c r="C11" s="9" t="n">
        <v>19.96</v>
      </c>
      <c r="D11" s="9" t="n">
        <v>21.3</v>
      </c>
      <c r="E11" s="9" t="n">
        <v>13</v>
      </c>
      <c r="F11" s="9" t="n">
        <v>0</v>
      </c>
      <c r="G11" s="9"/>
      <c r="H11" s="9" t="n">
        <f aca="false">B11*24/1000</f>
        <v>29.76</v>
      </c>
      <c r="I11" s="10" t="n">
        <f aca="false">D11/H11</f>
        <v>0.715725806451613</v>
      </c>
      <c r="J11" s="9" t="n">
        <f aca="false">D11-C11</f>
        <v>1.34</v>
      </c>
      <c r="K11" s="10" t="n">
        <f aca="false">IF(C11=0,"",D11/C11)</f>
        <v>1.06713426853707</v>
      </c>
      <c r="L11" s="10" t="n">
        <f aca="false">(B11-F11)/B11</f>
        <v>1</v>
      </c>
      <c r="M11" s="9" t="str">
        <f aca="false">IF(A11&lt;DATE(2026,6,30),"1-Pre-outage",IF(A11&lt;DATE(2026,7,5),"2-Transition","3-Outage-heavy"))</f>
        <v>1-Pre-outage</v>
      </c>
      <c r="N11" s="9" t="n">
        <f aca="false">AVERAGE(D5:D11)</f>
        <v>21.8528571428571</v>
      </c>
      <c r="O11" s="9" t="n">
        <f aca="false">E11-E10</f>
        <v>0</v>
      </c>
      <c r="P11" s="9" t="n">
        <f aca="false">ROUND(SUMIFS(Unit_Daily!G:G,Unit_Daily!A:A,A11)-D11,2)</f>
        <v>0</v>
      </c>
    </row>
    <row r="12" customFormat="false" ht="15" hidden="false" customHeight="false" outlineLevel="0" collapsed="false">
      <c r="A12" s="8" t="n">
        <v>46189</v>
      </c>
      <c r="B12" s="9" t="n">
        <v>1240</v>
      </c>
      <c r="C12" s="9" t="n">
        <v>19.96</v>
      </c>
      <c r="D12" s="9" t="n">
        <v>22.49</v>
      </c>
      <c r="E12" s="9" t="n">
        <v>13</v>
      </c>
      <c r="F12" s="9" t="n">
        <v>0</v>
      </c>
      <c r="G12" s="9"/>
      <c r="H12" s="9" t="n">
        <f aca="false">B12*24/1000</f>
        <v>29.76</v>
      </c>
      <c r="I12" s="10" t="n">
        <f aca="false">D12/H12</f>
        <v>0.755712365591398</v>
      </c>
      <c r="J12" s="9" t="n">
        <f aca="false">D12-C12</f>
        <v>2.53</v>
      </c>
      <c r="K12" s="10" t="n">
        <f aca="false">IF(C12=0,"",D12/C12)</f>
        <v>1.12675350701403</v>
      </c>
      <c r="L12" s="10" t="n">
        <f aca="false">(B12-F12)/B12</f>
        <v>1</v>
      </c>
      <c r="M12" s="9" t="str">
        <f aca="false">IF(A12&lt;DATE(2026,6,30),"1-Pre-outage",IF(A12&lt;DATE(2026,7,5),"2-Transition","3-Outage-heavy"))</f>
        <v>1-Pre-outage</v>
      </c>
      <c r="N12" s="9" t="n">
        <f aca="false">AVERAGE(D6:D12)</f>
        <v>21.8585714285714</v>
      </c>
      <c r="O12" s="9" t="n">
        <f aca="false">E12-E11</f>
        <v>0</v>
      </c>
      <c r="P12" s="9" t="n">
        <f aca="false">ROUND(SUMIFS(Unit_Daily!G:G,Unit_Daily!A:A,A12)-D12,2)</f>
        <v>0</v>
      </c>
    </row>
    <row r="13" customFormat="false" ht="15" hidden="false" customHeight="false" outlineLevel="0" collapsed="false">
      <c r="A13" s="8" t="n">
        <v>46190</v>
      </c>
      <c r="B13" s="9" t="n">
        <v>1240</v>
      </c>
      <c r="C13" s="9" t="n">
        <v>19.96</v>
      </c>
      <c r="D13" s="9" t="n">
        <v>22.35</v>
      </c>
      <c r="E13" s="9" t="n">
        <v>13</v>
      </c>
      <c r="F13" s="9" t="n">
        <v>0</v>
      </c>
      <c r="G13" s="9"/>
      <c r="H13" s="9" t="n">
        <f aca="false">B13*24/1000</f>
        <v>29.76</v>
      </c>
      <c r="I13" s="10" t="n">
        <f aca="false">D13/H13</f>
        <v>0.751008064516129</v>
      </c>
      <c r="J13" s="9" t="n">
        <f aca="false">D13-C13</f>
        <v>2.39</v>
      </c>
      <c r="K13" s="10" t="n">
        <f aca="false">IF(C13=0,"",D13/C13)</f>
        <v>1.11973947895792</v>
      </c>
      <c r="L13" s="10" t="n">
        <f aca="false">(B13-F13)/B13</f>
        <v>1</v>
      </c>
      <c r="M13" s="9" t="str">
        <f aca="false">IF(A13&lt;DATE(2026,6,30),"1-Pre-outage",IF(A13&lt;DATE(2026,7,5),"2-Transition","3-Outage-heavy"))</f>
        <v>1-Pre-outage</v>
      </c>
      <c r="N13" s="9" t="n">
        <f aca="false">AVERAGE(D7:D13)</f>
        <v>21.8228571428571</v>
      </c>
      <c r="O13" s="9" t="n">
        <f aca="false">E13-E12</f>
        <v>0</v>
      </c>
      <c r="P13" s="9" t="n">
        <f aca="false">ROUND(SUMIFS(Unit_Daily!G:G,Unit_Daily!A:A,A13)-D13,2)</f>
        <v>0</v>
      </c>
    </row>
    <row r="14" customFormat="false" ht="15" hidden="false" customHeight="false" outlineLevel="0" collapsed="false">
      <c r="A14" s="8" t="n">
        <v>46191</v>
      </c>
      <c r="B14" s="9" t="n">
        <v>1240</v>
      </c>
      <c r="C14" s="9" t="n">
        <v>19.96</v>
      </c>
      <c r="D14" s="9" t="n">
        <v>23.1</v>
      </c>
      <c r="E14" s="9" t="n">
        <v>13</v>
      </c>
      <c r="F14" s="9" t="n">
        <v>0</v>
      </c>
      <c r="G14" s="9"/>
      <c r="H14" s="9" t="n">
        <f aca="false">B14*24/1000</f>
        <v>29.76</v>
      </c>
      <c r="I14" s="10" t="n">
        <f aca="false">D14/H14</f>
        <v>0.776209677419355</v>
      </c>
      <c r="J14" s="9" t="n">
        <f aca="false">D14-C14</f>
        <v>3.14</v>
      </c>
      <c r="K14" s="10" t="n">
        <f aca="false">IF(C14=0,"",D14/C14)</f>
        <v>1.15731462925852</v>
      </c>
      <c r="L14" s="10" t="n">
        <f aca="false">(B14-F14)/B14</f>
        <v>1</v>
      </c>
      <c r="M14" s="9" t="str">
        <f aca="false">IF(A14&lt;DATE(2026,6,30),"1-Pre-outage",IF(A14&lt;DATE(2026,7,5),"2-Transition","3-Outage-heavy"))</f>
        <v>1-Pre-outage</v>
      </c>
      <c r="N14" s="9" t="n">
        <f aca="false">AVERAGE(D8:D14)</f>
        <v>21.94</v>
      </c>
      <c r="O14" s="9" t="n">
        <f aca="false">E14-E13</f>
        <v>0</v>
      </c>
      <c r="P14" s="9" t="n">
        <f aca="false">ROUND(SUMIFS(Unit_Daily!G:G,Unit_Daily!A:A,A14)-D14,2)</f>
        <v>0</v>
      </c>
    </row>
    <row r="15" customFormat="false" ht="15" hidden="false" customHeight="false" outlineLevel="0" collapsed="false">
      <c r="A15" s="8" t="n">
        <v>46192</v>
      </c>
      <c r="B15" s="9" t="n">
        <v>1240</v>
      </c>
      <c r="C15" s="9" t="n">
        <v>19.96</v>
      </c>
      <c r="D15" s="9" t="n">
        <v>23.03</v>
      </c>
      <c r="E15" s="9" t="n">
        <v>13</v>
      </c>
      <c r="F15" s="9" t="n">
        <v>0</v>
      </c>
      <c r="G15" s="9"/>
      <c r="H15" s="9" t="n">
        <f aca="false">B15*24/1000</f>
        <v>29.76</v>
      </c>
      <c r="I15" s="10" t="n">
        <f aca="false">D15/H15</f>
        <v>0.77385752688172</v>
      </c>
      <c r="J15" s="9" t="n">
        <f aca="false">D15-C15</f>
        <v>3.07</v>
      </c>
      <c r="K15" s="10" t="n">
        <f aca="false">IF(C15=0,"",D15/C15)</f>
        <v>1.15380761523046</v>
      </c>
      <c r="L15" s="10" t="n">
        <f aca="false">(B15-F15)/B15</f>
        <v>1</v>
      </c>
      <c r="M15" s="9" t="str">
        <f aca="false">IF(A15&lt;DATE(2026,6,30),"1-Pre-outage",IF(A15&lt;DATE(2026,7,5),"2-Transition","3-Outage-heavy"))</f>
        <v>1-Pre-outage</v>
      </c>
      <c r="N15" s="9" t="n">
        <f aca="false">AVERAGE(D9:D15)</f>
        <v>22.1471428571429</v>
      </c>
      <c r="O15" s="9" t="n">
        <f aca="false">E15-E14</f>
        <v>0</v>
      </c>
      <c r="P15" s="9" t="n">
        <f aca="false">ROUND(SUMIFS(Unit_Daily!G:G,Unit_Daily!A:A,A15)-D15,2)</f>
        <v>0</v>
      </c>
    </row>
    <row r="16" customFormat="false" ht="15" hidden="false" customHeight="false" outlineLevel="0" collapsed="false">
      <c r="A16" s="8" t="n">
        <v>46193</v>
      </c>
      <c r="B16" s="9" t="n">
        <v>1240</v>
      </c>
      <c r="C16" s="9" t="n">
        <v>19.96</v>
      </c>
      <c r="D16" s="9" t="n">
        <v>23.61</v>
      </c>
      <c r="E16" s="9" t="n">
        <v>12</v>
      </c>
      <c r="F16" s="9" t="n">
        <v>0</v>
      </c>
      <c r="G16" s="9"/>
      <c r="H16" s="9" t="n">
        <f aca="false">B16*24/1000</f>
        <v>29.76</v>
      </c>
      <c r="I16" s="10" t="n">
        <f aca="false">D16/H16</f>
        <v>0.793346774193548</v>
      </c>
      <c r="J16" s="9" t="n">
        <f aca="false">D16-C16</f>
        <v>3.65</v>
      </c>
      <c r="K16" s="10" t="n">
        <f aca="false">IF(C16=0,"",D16/C16)</f>
        <v>1.18286573146293</v>
      </c>
      <c r="L16" s="10" t="n">
        <f aca="false">(B16-F16)/B16</f>
        <v>1</v>
      </c>
      <c r="M16" s="9" t="str">
        <f aca="false">IF(A16&lt;DATE(2026,6,30),"1-Pre-outage",IF(A16&lt;DATE(2026,7,5),"2-Transition","3-Outage-heavy"))</f>
        <v>1-Pre-outage</v>
      </c>
      <c r="N16" s="9" t="n">
        <f aca="false">AVERAGE(D10:D16)</f>
        <v>22.4142857142857</v>
      </c>
      <c r="O16" s="9" t="n">
        <f aca="false">E16-E15</f>
        <v>-1</v>
      </c>
      <c r="P16" s="9" t="n">
        <f aca="false">ROUND(SUMIFS(Unit_Daily!G:G,Unit_Daily!A:A,A16)-D16,2)</f>
        <v>0</v>
      </c>
    </row>
    <row r="17" customFormat="false" ht="15" hidden="false" customHeight="false" outlineLevel="0" collapsed="false">
      <c r="A17" s="8" t="n">
        <v>46194</v>
      </c>
      <c r="B17" s="9" t="n">
        <v>1240</v>
      </c>
      <c r="C17" s="9" t="n">
        <v>19.96</v>
      </c>
      <c r="D17" s="9" t="n">
        <v>21.8</v>
      </c>
      <c r="E17" s="9" t="n">
        <v>13</v>
      </c>
      <c r="F17" s="9" t="n">
        <v>0</v>
      </c>
      <c r="G17" s="9"/>
      <c r="H17" s="9" t="n">
        <f aca="false">B17*24/1000</f>
        <v>29.76</v>
      </c>
      <c r="I17" s="10" t="n">
        <f aca="false">D17/H17</f>
        <v>0.73252688172043</v>
      </c>
      <c r="J17" s="9" t="n">
        <f aca="false">D17-C17</f>
        <v>1.84</v>
      </c>
      <c r="K17" s="10" t="n">
        <f aca="false">IF(C17=0,"",D17/C17)</f>
        <v>1.09218436873748</v>
      </c>
      <c r="L17" s="10" t="n">
        <f aca="false">(B17-F17)/B17</f>
        <v>1</v>
      </c>
      <c r="M17" s="9" t="str">
        <f aca="false">IF(A17&lt;DATE(2026,6,30),"1-Pre-outage",IF(A17&lt;DATE(2026,7,5),"2-Transition","3-Outage-heavy"))</f>
        <v>1-Pre-outage</v>
      </c>
      <c r="N17" s="9" t="n">
        <f aca="false">AVERAGE(D11:D17)</f>
        <v>22.5257142857143</v>
      </c>
      <c r="O17" s="9" t="n">
        <f aca="false">E17-E16</f>
        <v>1</v>
      </c>
      <c r="P17" s="9" t="n">
        <f aca="false">ROUND(SUMIFS(Unit_Daily!G:G,Unit_Daily!A:A,A17)-D17,2)</f>
        <v>0</v>
      </c>
    </row>
    <row r="18" customFormat="false" ht="15" hidden="false" customHeight="false" outlineLevel="0" collapsed="false">
      <c r="A18" s="8" t="n">
        <v>46195</v>
      </c>
      <c r="B18" s="9" t="n">
        <v>1240</v>
      </c>
      <c r="C18" s="9" t="n">
        <v>19.96</v>
      </c>
      <c r="D18" s="9" t="n">
        <v>21.79</v>
      </c>
      <c r="E18" s="9" t="n">
        <v>12</v>
      </c>
      <c r="F18" s="9" t="n">
        <v>0</v>
      </c>
      <c r="G18" s="9"/>
      <c r="H18" s="9" t="n">
        <f aca="false">B18*24/1000</f>
        <v>29.76</v>
      </c>
      <c r="I18" s="10" t="n">
        <f aca="false">D18/H18</f>
        <v>0.732190860215054</v>
      </c>
      <c r="J18" s="9" t="n">
        <f aca="false">D18-C18</f>
        <v>1.83</v>
      </c>
      <c r="K18" s="10" t="n">
        <f aca="false">IF(C18=0,"",D18/C18)</f>
        <v>1.09168336673347</v>
      </c>
      <c r="L18" s="10" t="n">
        <f aca="false">(B18-F18)/B18</f>
        <v>1</v>
      </c>
      <c r="M18" s="9" t="str">
        <f aca="false">IF(A18&lt;DATE(2026,6,30),"1-Pre-outage",IF(A18&lt;DATE(2026,7,5),"2-Transition","3-Outage-heavy"))</f>
        <v>1-Pre-outage</v>
      </c>
      <c r="N18" s="9" t="n">
        <f aca="false">AVERAGE(D12:D18)</f>
        <v>22.5957142857143</v>
      </c>
      <c r="O18" s="9" t="n">
        <f aca="false">E18-E17</f>
        <v>-1</v>
      </c>
      <c r="P18" s="9" t="n">
        <f aca="false">ROUND(SUMIFS(Unit_Daily!G:G,Unit_Daily!A:A,A18)-D18,2)</f>
        <v>0</v>
      </c>
    </row>
    <row r="19" customFormat="false" ht="15" hidden="false" customHeight="false" outlineLevel="0" collapsed="false">
      <c r="A19" s="8" t="n">
        <v>46196</v>
      </c>
      <c r="B19" s="9" t="n">
        <v>1240</v>
      </c>
      <c r="C19" s="9" t="n">
        <v>19.96</v>
      </c>
      <c r="D19" s="9" t="n">
        <v>22.3</v>
      </c>
      <c r="E19" s="9" t="n">
        <v>12</v>
      </c>
      <c r="F19" s="9" t="n">
        <v>0</v>
      </c>
      <c r="G19" s="9"/>
      <c r="H19" s="9" t="n">
        <f aca="false">B19*24/1000</f>
        <v>29.76</v>
      </c>
      <c r="I19" s="10" t="n">
        <f aca="false">D19/H19</f>
        <v>0.749327956989247</v>
      </c>
      <c r="J19" s="9" t="n">
        <f aca="false">D19-C19</f>
        <v>2.34</v>
      </c>
      <c r="K19" s="10" t="n">
        <f aca="false">IF(C19=0,"",D19/C19)</f>
        <v>1.11723446893788</v>
      </c>
      <c r="L19" s="10" t="n">
        <f aca="false">(B19-F19)/B19</f>
        <v>1</v>
      </c>
      <c r="M19" s="9" t="str">
        <f aca="false">IF(A19&lt;DATE(2026,6,30),"1-Pre-outage",IF(A19&lt;DATE(2026,7,5),"2-Transition","3-Outage-heavy"))</f>
        <v>1-Pre-outage</v>
      </c>
      <c r="N19" s="9" t="n">
        <f aca="false">AVERAGE(D13:D19)</f>
        <v>22.5685714285714</v>
      </c>
      <c r="O19" s="9" t="n">
        <f aca="false">E19-E18</f>
        <v>0</v>
      </c>
      <c r="P19" s="9" t="n">
        <f aca="false">ROUND(SUMIFS(Unit_Daily!G:G,Unit_Daily!A:A,A19)-D19,2)</f>
        <v>0</v>
      </c>
    </row>
    <row r="20" customFormat="false" ht="15" hidden="false" customHeight="false" outlineLevel="0" collapsed="false">
      <c r="A20" s="8" t="n">
        <v>46197</v>
      </c>
      <c r="B20" s="9" t="n">
        <v>1240</v>
      </c>
      <c r="C20" s="9" t="n">
        <v>19.96</v>
      </c>
      <c r="D20" s="9" t="n">
        <v>22.02</v>
      </c>
      <c r="E20" s="9" t="n">
        <v>11</v>
      </c>
      <c r="F20" s="9" t="n">
        <v>0</v>
      </c>
      <c r="G20" s="9"/>
      <c r="H20" s="9" t="n">
        <f aca="false">B20*24/1000</f>
        <v>29.76</v>
      </c>
      <c r="I20" s="10" t="n">
        <f aca="false">D20/H20</f>
        <v>0.73991935483871</v>
      </c>
      <c r="J20" s="9" t="n">
        <f aca="false">D20-C20</f>
        <v>2.06</v>
      </c>
      <c r="K20" s="10" t="n">
        <f aca="false">IF(C20=0,"",D20/C20)</f>
        <v>1.10320641282565</v>
      </c>
      <c r="L20" s="10" t="n">
        <f aca="false">(B20-F20)/B20</f>
        <v>1</v>
      </c>
      <c r="M20" s="9" t="str">
        <f aca="false">IF(A20&lt;DATE(2026,6,30),"1-Pre-outage",IF(A20&lt;DATE(2026,7,5),"2-Transition","3-Outage-heavy"))</f>
        <v>1-Pre-outage</v>
      </c>
      <c r="N20" s="9" t="n">
        <f aca="false">AVERAGE(D14:D20)</f>
        <v>22.5214285714286</v>
      </c>
      <c r="O20" s="9" t="n">
        <f aca="false">E20-E19</f>
        <v>-1</v>
      </c>
      <c r="P20" s="9" t="n">
        <f aca="false">ROUND(SUMIFS(Unit_Daily!G:G,Unit_Daily!A:A,A20)-D20,2)</f>
        <v>0</v>
      </c>
    </row>
    <row r="21" customFormat="false" ht="15" hidden="false" customHeight="false" outlineLevel="0" collapsed="false">
      <c r="A21" s="8" t="n">
        <v>46198</v>
      </c>
      <c r="B21" s="9" t="n">
        <v>1240</v>
      </c>
      <c r="C21" s="9" t="n">
        <v>19.96</v>
      </c>
      <c r="D21" s="9" t="n">
        <v>22.35</v>
      </c>
      <c r="E21" s="9" t="n">
        <v>11</v>
      </c>
      <c r="F21" s="9" t="n">
        <v>0</v>
      </c>
      <c r="G21" s="9"/>
      <c r="H21" s="9" t="n">
        <f aca="false">B21*24/1000</f>
        <v>29.76</v>
      </c>
      <c r="I21" s="10" t="n">
        <f aca="false">D21/H21</f>
        <v>0.751008064516129</v>
      </c>
      <c r="J21" s="9" t="n">
        <f aca="false">D21-C21</f>
        <v>2.39</v>
      </c>
      <c r="K21" s="10" t="n">
        <f aca="false">IF(C21=0,"",D21/C21)</f>
        <v>1.11973947895792</v>
      </c>
      <c r="L21" s="10" t="n">
        <f aca="false">(B21-F21)/B21</f>
        <v>1</v>
      </c>
      <c r="M21" s="9" t="str">
        <f aca="false">IF(A21&lt;DATE(2026,6,30),"1-Pre-outage",IF(A21&lt;DATE(2026,7,5),"2-Transition","3-Outage-heavy"))</f>
        <v>1-Pre-outage</v>
      </c>
      <c r="N21" s="9" t="n">
        <f aca="false">AVERAGE(D15:D21)</f>
        <v>22.4142857142857</v>
      </c>
      <c r="O21" s="9" t="n">
        <f aca="false">E21-E20</f>
        <v>0</v>
      </c>
      <c r="P21" s="9" t="n">
        <f aca="false">ROUND(SUMIFS(Unit_Daily!G:G,Unit_Daily!A:A,A21)-D21,2)</f>
        <v>0</v>
      </c>
    </row>
    <row r="22" customFormat="false" ht="15" hidden="false" customHeight="false" outlineLevel="0" collapsed="false">
      <c r="A22" s="8" t="n">
        <v>46199</v>
      </c>
      <c r="B22" s="9" t="n">
        <v>1240</v>
      </c>
      <c r="C22" s="9" t="n">
        <v>19.96</v>
      </c>
      <c r="D22" s="9" t="n">
        <v>22.97</v>
      </c>
      <c r="E22" s="9" t="n">
        <v>10</v>
      </c>
      <c r="F22" s="9" t="n">
        <v>0</v>
      </c>
      <c r="G22" s="9"/>
      <c r="H22" s="9" t="n">
        <f aca="false">B22*24/1000</f>
        <v>29.76</v>
      </c>
      <c r="I22" s="10" t="n">
        <f aca="false">D22/H22</f>
        <v>0.771841397849462</v>
      </c>
      <c r="J22" s="9" t="n">
        <f aca="false">D22-C22</f>
        <v>3.01</v>
      </c>
      <c r="K22" s="10" t="n">
        <f aca="false">IF(C22=0,"",D22/C22)</f>
        <v>1.15080160320641</v>
      </c>
      <c r="L22" s="10" t="n">
        <f aca="false">(B22-F22)/B22</f>
        <v>1</v>
      </c>
      <c r="M22" s="9" t="str">
        <f aca="false">IF(A22&lt;DATE(2026,6,30),"1-Pre-outage",IF(A22&lt;DATE(2026,7,5),"2-Transition","3-Outage-heavy"))</f>
        <v>1-Pre-outage</v>
      </c>
      <c r="N22" s="9" t="n">
        <f aca="false">AVERAGE(D16:D22)</f>
        <v>22.4057142857143</v>
      </c>
      <c r="O22" s="9" t="n">
        <f aca="false">E22-E21</f>
        <v>-1</v>
      </c>
      <c r="P22" s="9" t="n">
        <f aca="false">ROUND(SUMIFS(Unit_Daily!G:G,Unit_Daily!A:A,A22)-D22,2)</f>
        <v>0</v>
      </c>
    </row>
    <row r="23" customFormat="false" ht="15" hidden="false" customHeight="false" outlineLevel="0" collapsed="false">
      <c r="A23" s="8" t="n">
        <v>46200</v>
      </c>
      <c r="B23" s="9" t="n">
        <v>1240</v>
      </c>
      <c r="C23" s="9" t="n">
        <v>19.96</v>
      </c>
      <c r="D23" s="9" t="n">
        <v>23.48</v>
      </c>
      <c r="E23" s="9" t="n">
        <v>10</v>
      </c>
      <c r="F23" s="9" t="n">
        <v>0</v>
      </c>
      <c r="G23" s="9"/>
      <c r="H23" s="9" t="n">
        <f aca="false">B23*24/1000</f>
        <v>29.76</v>
      </c>
      <c r="I23" s="10" t="n">
        <f aca="false">D23/H23</f>
        <v>0.788978494623656</v>
      </c>
      <c r="J23" s="9" t="n">
        <f aca="false">D23-C23</f>
        <v>3.52</v>
      </c>
      <c r="K23" s="10" t="n">
        <f aca="false">IF(C23=0,"",D23/C23)</f>
        <v>1.17635270541082</v>
      </c>
      <c r="L23" s="10" t="n">
        <f aca="false">(B23-F23)/B23</f>
        <v>1</v>
      </c>
      <c r="M23" s="9" t="str">
        <f aca="false">IF(A23&lt;DATE(2026,6,30),"1-Pre-outage",IF(A23&lt;DATE(2026,7,5),"2-Transition","3-Outage-heavy"))</f>
        <v>1-Pre-outage</v>
      </c>
      <c r="N23" s="9" t="n">
        <f aca="false">AVERAGE(D17:D23)</f>
        <v>22.3871428571429</v>
      </c>
      <c r="O23" s="9" t="n">
        <f aca="false">E23-E22</f>
        <v>0</v>
      </c>
      <c r="P23" s="9" t="n">
        <f aca="false">ROUND(SUMIFS(Unit_Daily!G:G,Unit_Daily!A:A,A23)-D23,2)</f>
        <v>0</v>
      </c>
    </row>
    <row r="24" customFormat="false" ht="15" hidden="false" customHeight="false" outlineLevel="0" collapsed="false">
      <c r="A24" s="8" t="n">
        <v>46201</v>
      </c>
      <c r="B24" s="9" t="n">
        <v>1240</v>
      </c>
      <c r="C24" s="9" t="n">
        <v>19.96</v>
      </c>
      <c r="D24" s="9" t="n">
        <v>23.29</v>
      </c>
      <c r="E24" s="9" t="n">
        <v>9</v>
      </c>
      <c r="F24" s="9" t="n">
        <v>0</v>
      </c>
      <c r="G24" s="9"/>
      <c r="H24" s="9" t="n">
        <f aca="false">B24*24/1000</f>
        <v>29.76</v>
      </c>
      <c r="I24" s="10" t="n">
        <f aca="false">D24/H24</f>
        <v>0.782594086021505</v>
      </c>
      <c r="J24" s="9" t="n">
        <f aca="false">D24-C24</f>
        <v>3.33</v>
      </c>
      <c r="K24" s="10" t="n">
        <f aca="false">IF(C24=0,"",D24/C24)</f>
        <v>1.16683366733467</v>
      </c>
      <c r="L24" s="10" t="n">
        <f aca="false">(B24-F24)/B24</f>
        <v>1</v>
      </c>
      <c r="M24" s="9" t="str">
        <f aca="false">IF(A24&lt;DATE(2026,6,30),"1-Pre-outage",IF(A24&lt;DATE(2026,7,5),"2-Transition","3-Outage-heavy"))</f>
        <v>1-Pre-outage</v>
      </c>
      <c r="N24" s="9" t="n">
        <f aca="false">AVERAGE(D18:D24)</f>
        <v>22.6</v>
      </c>
      <c r="O24" s="9" t="n">
        <f aca="false">E24-E23</f>
        <v>-1</v>
      </c>
      <c r="P24" s="9" t="n">
        <f aca="false">ROUND(SUMIFS(Unit_Daily!G:G,Unit_Daily!A:A,A24)-D24,2)</f>
        <v>0</v>
      </c>
    </row>
    <row r="25" customFormat="false" ht="15" hidden="false" customHeight="false" outlineLevel="0" collapsed="false">
      <c r="A25" s="8" t="n">
        <v>46202</v>
      </c>
      <c r="B25" s="9" t="n">
        <v>1240</v>
      </c>
      <c r="C25" s="9" t="n">
        <v>19.96</v>
      </c>
      <c r="D25" s="9" t="n">
        <v>23.3</v>
      </c>
      <c r="E25" s="9" t="n">
        <v>9</v>
      </c>
      <c r="F25" s="9" t="n">
        <v>0</v>
      </c>
      <c r="G25" s="9"/>
      <c r="H25" s="9" t="n">
        <f aca="false">B25*24/1000</f>
        <v>29.76</v>
      </c>
      <c r="I25" s="10" t="n">
        <f aca="false">D25/H25</f>
        <v>0.782930107526882</v>
      </c>
      <c r="J25" s="9" t="n">
        <f aca="false">D25-C25</f>
        <v>3.34</v>
      </c>
      <c r="K25" s="10" t="n">
        <f aca="false">IF(C25=0,"",D25/C25)</f>
        <v>1.16733466933868</v>
      </c>
      <c r="L25" s="10" t="n">
        <f aca="false">(B25-F25)/B25</f>
        <v>1</v>
      </c>
      <c r="M25" s="9" t="str">
        <f aca="false">IF(A25&lt;DATE(2026,6,30),"1-Pre-outage",IF(A25&lt;DATE(2026,7,5),"2-Transition","3-Outage-heavy"))</f>
        <v>1-Pre-outage</v>
      </c>
      <c r="N25" s="9" t="n">
        <f aca="false">AVERAGE(D19:D25)</f>
        <v>22.8157142857143</v>
      </c>
      <c r="O25" s="9" t="n">
        <f aca="false">E25-E24</f>
        <v>0</v>
      </c>
      <c r="P25" s="9" t="n">
        <f aca="false">ROUND(SUMIFS(Unit_Daily!G:G,Unit_Daily!A:A,A25)-D25,2)</f>
        <v>0</v>
      </c>
    </row>
    <row r="26" customFormat="false" ht="15" hidden="false" customHeight="false" outlineLevel="0" collapsed="false">
      <c r="A26" s="8" t="n">
        <v>46203</v>
      </c>
      <c r="B26" s="9" t="n">
        <v>1240</v>
      </c>
      <c r="C26" s="9" t="n">
        <v>19.96</v>
      </c>
      <c r="D26" s="9" t="n">
        <v>22.05</v>
      </c>
      <c r="E26" s="9" t="n">
        <v>9</v>
      </c>
      <c r="F26" s="9" t="n">
        <v>195</v>
      </c>
      <c r="G26" s="9"/>
      <c r="H26" s="9" t="n">
        <f aca="false">B26*24/1000</f>
        <v>29.76</v>
      </c>
      <c r="I26" s="10" t="n">
        <f aca="false">D26/H26</f>
        <v>0.740927419354839</v>
      </c>
      <c r="J26" s="9" t="n">
        <f aca="false">D26-C26</f>
        <v>2.09</v>
      </c>
      <c r="K26" s="10" t="n">
        <f aca="false">IF(C26=0,"",D26/C26)</f>
        <v>1.10470941883768</v>
      </c>
      <c r="L26" s="10" t="n">
        <f aca="false">(B26-F26)/B26</f>
        <v>0.842741935483871</v>
      </c>
      <c r="M26" s="9" t="str">
        <f aca="false">IF(A26&lt;DATE(2026,6,30),"1-Pre-outage",IF(A26&lt;DATE(2026,7,5),"2-Transition","3-Outage-heavy"))</f>
        <v>2-Transition</v>
      </c>
      <c r="N26" s="9" t="n">
        <f aca="false">AVERAGE(D20:D26)</f>
        <v>22.78</v>
      </c>
      <c r="O26" s="9" t="n">
        <f aca="false">E26-E25</f>
        <v>0</v>
      </c>
      <c r="P26" s="9" t="n">
        <f aca="false">ROUND(SUMIFS(Unit_Daily!G:G,Unit_Daily!A:A,A26)-D26,2)</f>
        <v>0</v>
      </c>
    </row>
    <row r="27" customFormat="false" ht="15" hidden="false" customHeight="false" outlineLevel="0" collapsed="false">
      <c r="A27" s="8" t="n">
        <v>46204</v>
      </c>
      <c r="B27" s="9" t="n">
        <v>1240</v>
      </c>
      <c r="C27" s="9" t="n">
        <v>15.03</v>
      </c>
      <c r="D27" s="9" t="n">
        <v>22.1</v>
      </c>
      <c r="E27" s="9" t="n">
        <v>9</v>
      </c>
      <c r="F27" s="9" t="n">
        <v>195</v>
      </c>
      <c r="G27" s="9"/>
      <c r="H27" s="9" t="n">
        <f aca="false">B27*24/1000</f>
        <v>29.76</v>
      </c>
      <c r="I27" s="10" t="n">
        <f aca="false">D27/H27</f>
        <v>0.742607526881721</v>
      </c>
      <c r="J27" s="9" t="n">
        <f aca="false">D27-C27</f>
        <v>7.07</v>
      </c>
      <c r="K27" s="10" t="n">
        <f aca="false">IF(C27=0,"",D27/C27)</f>
        <v>1.47039254823686</v>
      </c>
      <c r="L27" s="10" t="n">
        <f aca="false">(B27-F27)/B27</f>
        <v>0.842741935483871</v>
      </c>
      <c r="M27" s="9" t="str">
        <f aca="false">IF(A27&lt;DATE(2026,6,30),"1-Pre-outage",IF(A27&lt;DATE(2026,7,5),"2-Transition","3-Outage-heavy"))</f>
        <v>2-Transition</v>
      </c>
      <c r="N27" s="9" t="n">
        <f aca="false">AVERAGE(D21:D27)</f>
        <v>22.7914285714286</v>
      </c>
      <c r="O27" s="9" t="n">
        <f aca="false">E27-E26</f>
        <v>0</v>
      </c>
      <c r="P27" s="9" t="n">
        <f aca="false">ROUND(SUMIFS(Unit_Daily!G:G,Unit_Daily!A:A,A27)-D27,2)</f>
        <v>0</v>
      </c>
    </row>
    <row r="28" customFormat="false" ht="15" hidden="false" customHeight="false" outlineLevel="0" collapsed="false">
      <c r="A28" s="8" t="n">
        <v>46205</v>
      </c>
      <c r="B28" s="9" t="n">
        <v>1240</v>
      </c>
      <c r="C28" s="9" t="n">
        <v>15.03</v>
      </c>
      <c r="D28" s="9" t="n">
        <v>22.87</v>
      </c>
      <c r="E28" s="9" t="n">
        <v>9</v>
      </c>
      <c r="F28" s="9" t="n">
        <v>0</v>
      </c>
      <c r="G28" s="9"/>
      <c r="H28" s="9" t="n">
        <f aca="false">B28*24/1000</f>
        <v>29.76</v>
      </c>
      <c r="I28" s="10" t="n">
        <f aca="false">D28/H28</f>
        <v>0.768481182795699</v>
      </c>
      <c r="J28" s="9" t="n">
        <f aca="false">D28-C28</f>
        <v>7.84</v>
      </c>
      <c r="K28" s="10" t="n">
        <f aca="false">IF(C28=0,"",D28/C28)</f>
        <v>1.52162341982701</v>
      </c>
      <c r="L28" s="10" t="n">
        <f aca="false">(B28-F28)/B28</f>
        <v>1</v>
      </c>
      <c r="M28" s="9" t="str">
        <f aca="false">IF(A28&lt;DATE(2026,6,30),"1-Pre-outage",IF(A28&lt;DATE(2026,7,5),"2-Transition","3-Outage-heavy"))</f>
        <v>2-Transition</v>
      </c>
      <c r="N28" s="9" t="n">
        <f aca="false">AVERAGE(D22:D28)</f>
        <v>22.8657142857143</v>
      </c>
      <c r="O28" s="9" t="n">
        <f aca="false">E28-E27</f>
        <v>0</v>
      </c>
      <c r="P28" s="9" t="n">
        <f aca="false">ROUND(SUMIFS(Unit_Daily!G:G,Unit_Daily!A:A,A28)-D28,2)</f>
        <v>0</v>
      </c>
    </row>
    <row r="29" customFormat="false" ht="15" hidden="false" customHeight="false" outlineLevel="0" collapsed="false">
      <c r="A29" s="8" t="n">
        <v>46206</v>
      </c>
      <c r="B29" s="9" t="n">
        <v>1240</v>
      </c>
      <c r="C29" s="9" t="n">
        <v>15.03</v>
      </c>
      <c r="D29" s="9" t="n">
        <v>21.56</v>
      </c>
      <c r="E29" s="9" t="n">
        <v>9</v>
      </c>
      <c r="F29" s="9" t="n">
        <v>0</v>
      </c>
      <c r="G29" s="9"/>
      <c r="H29" s="9" t="n">
        <f aca="false">B29*24/1000</f>
        <v>29.76</v>
      </c>
      <c r="I29" s="10" t="n">
        <f aca="false">D29/H29</f>
        <v>0.724462365591398</v>
      </c>
      <c r="J29" s="9" t="n">
        <f aca="false">D29-C29</f>
        <v>6.53</v>
      </c>
      <c r="K29" s="10" t="n">
        <f aca="false">IF(C29=0,"",D29/C29)</f>
        <v>1.43446440452428</v>
      </c>
      <c r="L29" s="10" t="n">
        <f aca="false">(B29-F29)/B29</f>
        <v>1</v>
      </c>
      <c r="M29" s="9" t="str">
        <f aca="false">IF(A29&lt;DATE(2026,6,30),"1-Pre-outage",IF(A29&lt;DATE(2026,7,5),"2-Transition","3-Outage-heavy"))</f>
        <v>2-Transition</v>
      </c>
      <c r="N29" s="9" t="n">
        <f aca="false">AVERAGE(D23:D29)</f>
        <v>22.6642857142857</v>
      </c>
      <c r="O29" s="9" t="n">
        <f aca="false">E29-E28</f>
        <v>0</v>
      </c>
      <c r="P29" s="9" t="n">
        <f aca="false">ROUND(SUMIFS(Unit_Daily!G:G,Unit_Daily!A:A,A29)-D29,2)</f>
        <v>0</v>
      </c>
    </row>
    <row r="30" customFormat="false" ht="15" hidden="false" customHeight="false" outlineLevel="0" collapsed="false">
      <c r="A30" s="8" t="n">
        <v>46207</v>
      </c>
      <c r="B30" s="9" t="n">
        <v>1240</v>
      </c>
      <c r="C30" s="9" t="n">
        <v>15.03</v>
      </c>
      <c r="D30" s="9" t="n">
        <v>21.81</v>
      </c>
      <c r="E30" s="9" t="n">
        <v>9</v>
      </c>
      <c r="F30" s="9" t="n">
        <v>0</v>
      </c>
      <c r="G30" s="9"/>
      <c r="H30" s="9" t="n">
        <f aca="false">B30*24/1000</f>
        <v>29.76</v>
      </c>
      <c r="I30" s="10" t="n">
        <f aca="false">D30/H30</f>
        <v>0.732862903225806</v>
      </c>
      <c r="J30" s="9" t="n">
        <f aca="false">D30-C30</f>
        <v>6.78</v>
      </c>
      <c r="K30" s="10" t="n">
        <f aca="false">IF(C30=0,"",D30/C30)</f>
        <v>1.45109780439122</v>
      </c>
      <c r="L30" s="10" t="n">
        <f aca="false">(B30-F30)/B30</f>
        <v>1</v>
      </c>
      <c r="M30" s="9" t="str">
        <f aca="false">IF(A30&lt;DATE(2026,6,30),"1-Pre-outage",IF(A30&lt;DATE(2026,7,5),"2-Transition","3-Outage-heavy"))</f>
        <v>2-Transition</v>
      </c>
      <c r="N30" s="9" t="n">
        <f aca="false">AVERAGE(D24:D30)</f>
        <v>22.4257142857143</v>
      </c>
      <c r="O30" s="9" t="n">
        <f aca="false">E30-E29</f>
        <v>0</v>
      </c>
      <c r="P30" s="9" t="n">
        <f aca="false">ROUND(SUMIFS(Unit_Daily!G:G,Unit_Daily!A:A,A30)-D30,2)</f>
        <v>0</v>
      </c>
    </row>
    <row r="31" customFormat="false" ht="15" hidden="false" customHeight="false" outlineLevel="0" collapsed="false">
      <c r="A31" s="8" t="n">
        <v>46208</v>
      </c>
      <c r="B31" s="9" t="n">
        <v>1240</v>
      </c>
      <c r="C31" s="9" t="n">
        <v>15.03</v>
      </c>
      <c r="D31" s="9" t="n">
        <v>18.11</v>
      </c>
      <c r="E31" s="9" t="n">
        <v>9</v>
      </c>
      <c r="F31" s="9" t="n">
        <v>210</v>
      </c>
      <c r="G31" s="9"/>
      <c r="H31" s="9" t="n">
        <f aca="false">B31*24/1000</f>
        <v>29.76</v>
      </c>
      <c r="I31" s="10" t="n">
        <f aca="false">D31/H31</f>
        <v>0.608534946236559</v>
      </c>
      <c r="J31" s="9" t="n">
        <f aca="false">D31-C31</f>
        <v>3.08</v>
      </c>
      <c r="K31" s="10" t="n">
        <f aca="false">IF(C31=0,"",D31/C31)</f>
        <v>1.20492348636061</v>
      </c>
      <c r="L31" s="10" t="n">
        <f aca="false">(B31-F31)/B31</f>
        <v>0.830645161290323</v>
      </c>
      <c r="M31" s="9" t="str">
        <f aca="false">IF(A31&lt;DATE(2026,6,30),"1-Pre-outage",IF(A31&lt;DATE(2026,7,5),"2-Transition","3-Outage-heavy"))</f>
        <v>3-Outage-heavy</v>
      </c>
      <c r="N31" s="9" t="n">
        <f aca="false">AVERAGE(D25:D31)</f>
        <v>21.6857142857143</v>
      </c>
      <c r="O31" s="9" t="n">
        <f aca="false">E31-E30</f>
        <v>0</v>
      </c>
      <c r="P31" s="9" t="n">
        <f aca="false">ROUND(SUMIFS(Unit_Daily!G:G,Unit_Daily!A:A,A31)-D31,2)</f>
        <v>0</v>
      </c>
    </row>
    <row r="32" customFormat="false" ht="15" hidden="false" customHeight="false" outlineLevel="0" collapsed="false">
      <c r="A32" s="8" t="n">
        <v>46209</v>
      </c>
      <c r="B32" s="9" t="n">
        <v>1240</v>
      </c>
      <c r="C32" s="9" t="n">
        <v>15.03</v>
      </c>
      <c r="D32" s="9" t="n">
        <v>17.92</v>
      </c>
      <c r="E32" s="9" t="n">
        <v>9</v>
      </c>
      <c r="F32" s="9" t="n">
        <v>210</v>
      </c>
      <c r="G32" s="9"/>
      <c r="H32" s="9" t="n">
        <f aca="false">B32*24/1000</f>
        <v>29.76</v>
      </c>
      <c r="I32" s="10" t="n">
        <f aca="false">D32/H32</f>
        <v>0.602150537634409</v>
      </c>
      <c r="J32" s="9" t="n">
        <f aca="false">D32-C32</f>
        <v>2.89</v>
      </c>
      <c r="K32" s="10" t="n">
        <f aca="false">IF(C32=0,"",D32/C32)</f>
        <v>1.19228210246174</v>
      </c>
      <c r="L32" s="10" t="n">
        <f aca="false">(B32-F32)/B32</f>
        <v>0.830645161290323</v>
      </c>
      <c r="M32" s="9" t="str">
        <f aca="false">IF(A32&lt;DATE(2026,6,30),"1-Pre-outage",IF(A32&lt;DATE(2026,7,5),"2-Transition","3-Outage-heavy"))</f>
        <v>3-Outage-heavy</v>
      </c>
      <c r="N32" s="9" t="n">
        <f aca="false">AVERAGE(D26:D32)</f>
        <v>20.9171428571429</v>
      </c>
      <c r="O32" s="9" t="n">
        <f aca="false">E32-E31</f>
        <v>0</v>
      </c>
      <c r="P32" s="9" t="n">
        <f aca="false">ROUND(SUMIFS(Unit_Daily!G:G,Unit_Daily!A:A,A32)-D32,2)</f>
        <v>0</v>
      </c>
    </row>
    <row r="33" customFormat="false" ht="15" hidden="false" customHeight="false" outlineLevel="0" collapsed="false">
      <c r="A33" s="8" t="n">
        <v>46210</v>
      </c>
      <c r="B33" s="9" t="n">
        <v>1240</v>
      </c>
      <c r="C33" s="9" t="n">
        <v>15.03</v>
      </c>
      <c r="D33" s="9" t="n">
        <v>18.5</v>
      </c>
      <c r="E33" s="9" t="n">
        <v>10</v>
      </c>
      <c r="F33" s="9" t="n">
        <v>210</v>
      </c>
      <c r="G33" s="9"/>
      <c r="H33" s="9" t="n">
        <f aca="false">B33*24/1000</f>
        <v>29.76</v>
      </c>
      <c r="I33" s="10" t="n">
        <f aca="false">D33/H33</f>
        <v>0.621639784946237</v>
      </c>
      <c r="J33" s="9" t="n">
        <f aca="false">D33-C33</f>
        <v>3.47</v>
      </c>
      <c r="K33" s="10" t="n">
        <f aca="false">IF(C33=0,"",D33/C33)</f>
        <v>1.23087159015303</v>
      </c>
      <c r="L33" s="10" t="n">
        <f aca="false">(B33-F33)/B33</f>
        <v>0.830645161290323</v>
      </c>
      <c r="M33" s="9" t="str">
        <f aca="false">IF(A33&lt;DATE(2026,6,30),"1-Pre-outage",IF(A33&lt;DATE(2026,7,5),"2-Transition","3-Outage-heavy"))</f>
        <v>3-Outage-heavy</v>
      </c>
      <c r="N33" s="9" t="n">
        <f aca="false">AVERAGE(D27:D33)</f>
        <v>20.41</v>
      </c>
      <c r="O33" s="9" t="n">
        <f aca="false">E33-E32</f>
        <v>1</v>
      </c>
      <c r="P33" s="9" t="n">
        <f aca="false">ROUND(SUMIFS(Unit_Daily!G:G,Unit_Daily!A:A,A33)-D33,2)</f>
        <v>0</v>
      </c>
    </row>
    <row r="34" customFormat="false" ht="15" hidden="false" customHeight="false" outlineLevel="0" collapsed="false">
      <c r="A34" s="8" t="n">
        <v>46211</v>
      </c>
      <c r="B34" s="9" t="n">
        <v>1240</v>
      </c>
      <c r="C34" s="9" t="n">
        <v>15.03</v>
      </c>
      <c r="D34" s="9" t="n">
        <v>18.16</v>
      </c>
      <c r="E34" s="9" t="n">
        <v>10</v>
      </c>
      <c r="F34" s="9" t="n">
        <v>210</v>
      </c>
      <c r="G34" s="9"/>
      <c r="H34" s="9" t="n">
        <f aca="false">B34*24/1000</f>
        <v>29.76</v>
      </c>
      <c r="I34" s="10" t="n">
        <f aca="false">D34/H34</f>
        <v>0.610215053763441</v>
      </c>
      <c r="J34" s="9" t="n">
        <f aca="false">D34-C34</f>
        <v>3.13</v>
      </c>
      <c r="K34" s="10" t="n">
        <f aca="false">IF(C34=0,"",D34/C34)</f>
        <v>1.208250166334</v>
      </c>
      <c r="L34" s="10" t="n">
        <f aca="false">(B34-F34)/B34</f>
        <v>0.830645161290323</v>
      </c>
      <c r="M34" s="9" t="str">
        <f aca="false">IF(A34&lt;DATE(2026,6,30),"1-Pre-outage",IF(A34&lt;DATE(2026,7,5),"2-Transition","3-Outage-heavy"))</f>
        <v>3-Outage-heavy</v>
      </c>
      <c r="N34" s="9" t="n">
        <f aca="false">AVERAGE(D28:D34)</f>
        <v>19.8471428571429</v>
      </c>
      <c r="O34" s="9" t="n">
        <f aca="false">E34-E33</f>
        <v>0</v>
      </c>
      <c r="P34" s="9" t="n">
        <f aca="false">ROUND(SUMIFS(Unit_Daily!G:G,Unit_Daily!A:A,A34)-D34,2)</f>
        <v>0</v>
      </c>
    </row>
    <row r="35" customFormat="false" ht="15" hidden="false" customHeight="false" outlineLevel="0" collapsed="false">
      <c r="A35" s="8" t="n">
        <v>46212</v>
      </c>
      <c r="B35" s="9" t="n">
        <v>1240</v>
      </c>
      <c r="C35" s="9" t="n">
        <v>15.03</v>
      </c>
      <c r="D35" s="9" t="n">
        <v>14.29</v>
      </c>
      <c r="E35" s="9" t="n">
        <v>10</v>
      </c>
      <c r="F35" s="9" t="n">
        <v>530</v>
      </c>
      <c r="G35" s="9"/>
      <c r="H35" s="9" t="n">
        <f aca="false">B35*24/1000</f>
        <v>29.76</v>
      </c>
      <c r="I35" s="10" t="n">
        <f aca="false">D35/H35</f>
        <v>0.480174731182796</v>
      </c>
      <c r="J35" s="9" t="n">
        <f aca="false">D35-C35</f>
        <v>-0.74</v>
      </c>
      <c r="K35" s="10" t="n">
        <f aca="false">IF(C35=0,"",D35/C35)</f>
        <v>0.950765136393879</v>
      </c>
      <c r="L35" s="10" t="n">
        <f aca="false">(B35-F35)/B35</f>
        <v>0.57258064516129</v>
      </c>
      <c r="M35" s="9" t="str">
        <f aca="false">IF(A35&lt;DATE(2026,6,30),"1-Pre-outage",IF(A35&lt;DATE(2026,7,5),"2-Transition","3-Outage-heavy"))</f>
        <v>3-Outage-heavy</v>
      </c>
      <c r="N35" s="9" t="n">
        <f aca="false">AVERAGE(D29:D35)</f>
        <v>18.6214285714286</v>
      </c>
      <c r="O35" s="9" t="n">
        <f aca="false">E35-E34</f>
        <v>0</v>
      </c>
      <c r="P35" s="9" t="n">
        <f aca="false">ROUND(SUMIFS(Unit_Daily!G:G,Unit_Daily!A:A,A35)-D35,2)</f>
        <v>0</v>
      </c>
    </row>
    <row r="36" customFormat="false" ht="15" hidden="false" customHeight="false" outlineLevel="0" collapsed="false">
      <c r="A36" s="8" t="n">
        <v>46213</v>
      </c>
      <c r="B36" s="9" t="n">
        <v>1240</v>
      </c>
      <c r="C36" s="9" t="n">
        <v>15.03</v>
      </c>
      <c r="D36" s="9" t="n">
        <v>12.9</v>
      </c>
      <c r="E36" s="9" t="n">
        <v>11</v>
      </c>
      <c r="F36" s="9" t="n">
        <v>530</v>
      </c>
      <c r="G36" s="9"/>
      <c r="H36" s="9" t="n">
        <f aca="false">B36*24/1000</f>
        <v>29.76</v>
      </c>
      <c r="I36" s="10" t="n">
        <f aca="false">D36/H36</f>
        <v>0.433467741935484</v>
      </c>
      <c r="J36" s="9" t="n">
        <f aca="false">D36-C36</f>
        <v>-2.13</v>
      </c>
      <c r="K36" s="10" t="n">
        <f aca="false">IF(C36=0,"",D36/C36)</f>
        <v>0.858283433133733</v>
      </c>
      <c r="L36" s="10" t="n">
        <f aca="false">(B36-F36)/B36</f>
        <v>0.57258064516129</v>
      </c>
      <c r="M36" s="9" t="str">
        <f aca="false">IF(A36&lt;DATE(2026,6,30),"1-Pre-outage",IF(A36&lt;DATE(2026,7,5),"2-Transition","3-Outage-heavy"))</f>
        <v>3-Outage-heavy</v>
      </c>
      <c r="N36" s="9" t="n">
        <f aca="false">AVERAGE(D30:D36)</f>
        <v>17.3842857142857</v>
      </c>
      <c r="O36" s="9" t="n">
        <f aca="false">E36-E35</f>
        <v>1</v>
      </c>
      <c r="P36" s="9" t="n">
        <f aca="false">ROUND(SUMIFS(Unit_Daily!G:G,Unit_Daily!A:A,A36)-D36,2)</f>
        <v>0</v>
      </c>
    </row>
    <row r="37" customFormat="false" ht="15" hidden="false" customHeight="false" outlineLevel="0" collapsed="false">
      <c r="A37" s="8" t="n">
        <v>46214</v>
      </c>
      <c r="B37" s="9" t="n">
        <v>1240</v>
      </c>
      <c r="C37" s="9" t="n">
        <v>15.03</v>
      </c>
      <c r="D37" s="9" t="n">
        <v>16.43</v>
      </c>
      <c r="E37" s="9" t="n">
        <v>12</v>
      </c>
      <c r="F37" s="9" t="n">
        <v>320</v>
      </c>
      <c r="G37" s="9"/>
      <c r="H37" s="9" t="n">
        <f aca="false">B37*24/1000</f>
        <v>29.76</v>
      </c>
      <c r="I37" s="10" t="n">
        <f aca="false">D37/H37</f>
        <v>0.552083333333333</v>
      </c>
      <c r="J37" s="9" t="n">
        <f aca="false">D37-C37</f>
        <v>1.4</v>
      </c>
      <c r="K37" s="10" t="n">
        <f aca="false">IF(C37=0,"",D37/C37)</f>
        <v>1.09314703925482</v>
      </c>
      <c r="L37" s="10" t="n">
        <f aca="false">(B37-F37)/B37</f>
        <v>0.741935483870968</v>
      </c>
      <c r="M37" s="9" t="str">
        <f aca="false">IF(A37&lt;DATE(2026,6,30),"1-Pre-outage",IF(A37&lt;DATE(2026,7,5),"2-Transition","3-Outage-heavy"))</f>
        <v>3-Outage-heavy</v>
      </c>
      <c r="N37" s="9" t="n">
        <f aca="false">AVERAGE(D31:D37)</f>
        <v>16.6157142857143</v>
      </c>
      <c r="O37" s="9" t="n">
        <f aca="false">E37-E36</f>
        <v>1</v>
      </c>
      <c r="P37" s="9" t="n">
        <f aca="false">ROUND(SUMIFS(Unit_Daily!G:G,Unit_Daily!A:A,A37)-D37,2)</f>
        <v>0</v>
      </c>
    </row>
    <row r="38" customFormat="false" ht="15" hidden="false" customHeight="false" outlineLevel="0" collapsed="false">
      <c r="A38" s="8" t="n">
        <v>46215</v>
      </c>
      <c r="B38" s="9" t="n">
        <v>1240</v>
      </c>
      <c r="C38" s="9" t="n">
        <v>15.03</v>
      </c>
      <c r="D38" s="9" t="n">
        <v>16.51</v>
      </c>
      <c r="E38" s="9" t="n">
        <v>14</v>
      </c>
      <c r="F38" s="9" t="n">
        <v>320</v>
      </c>
      <c r="G38" s="9"/>
      <c r="H38" s="9" t="n">
        <f aca="false">B38*24/1000</f>
        <v>29.76</v>
      </c>
      <c r="I38" s="10" t="n">
        <f aca="false">D38/H38</f>
        <v>0.554771505376344</v>
      </c>
      <c r="J38" s="9" t="n">
        <f aca="false">D38-C38</f>
        <v>1.48</v>
      </c>
      <c r="K38" s="10" t="n">
        <f aca="false">IF(C38=0,"",D38/C38)</f>
        <v>1.09846972721224</v>
      </c>
      <c r="L38" s="10" t="n">
        <f aca="false">(B38-F38)/B38</f>
        <v>0.741935483870968</v>
      </c>
      <c r="M38" s="9" t="str">
        <f aca="false">IF(A38&lt;DATE(2026,6,30),"1-Pre-outage",IF(A38&lt;DATE(2026,7,5),"2-Transition","3-Outage-heavy"))</f>
        <v>3-Outage-heavy</v>
      </c>
      <c r="N38" s="9" t="n">
        <f aca="false">AVERAGE(D32:D38)</f>
        <v>16.3871428571429</v>
      </c>
      <c r="O38" s="9" t="n">
        <f aca="false">E38-E37</f>
        <v>2</v>
      </c>
      <c r="P38" s="9" t="n">
        <f aca="false">ROUND(SUMIFS(Unit_Daily!G:G,Unit_Daily!A:A,A38)-D38,2)</f>
        <v>0</v>
      </c>
    </row>
    <row r="39" customFormat="false" ht="15" hidden="false" customHeight="false" outlineLevel="0" collapsed="false">
      <c r="A39" s="8" t="n">
        <v>46216</v>
      </c>
      <c r="B39" s="9" t="n">
        <v>1240</v>
      </c>
      <c r="C39" s="9" t="n">
        <v>15.03</v>
      </c>
      <c r="D39" s="9" t="n">
        <v>17.42</v>
      </c>
      <c r="E39" s="9" t="n">
        <v>15</v>
      </c>
      <c r="F39" s="9" t="n">
        <v>320</v>
      </c>
      <c r="G39" s="9"/>
      <c r="H39" s="9" t="n">
        <f aca="false">B39*24/1000</f>
        <v>29.76</v>
      </c>
      <c r="I39" s="10" t="n">
        <f aca="false">D39/H39</f>
        <v>0.585349462365591</v>
      </c>
      <c r="J39" s="9" t="n">
        <f aca="false">D39-C39</f>
        <v>2.39</v>
      </c>
      <c r="K39" s="10" t="n">
        <f aca="false">IF(C39=0,"",D39/C39)</f>
        <v>1.15901530272788</v>
      </c>
      <c r="L39" s="10" t="n">
        <f aca="false">(B39-F39)/B39</f>
        <v>0.741935483870968</v>
      </c>
      <c r="M39" s="9" t="str">
        <f aca="false">IF(A39&lt;DATE(2026,6,30),"1-Pre-outage",IF(A39&lt;DATE(2026,7,5),"2-Transition","3-Outage-heavy"))</f>
        <v>3-Outage-heavy</v>
      </c>
      <c r="N39" s="9" t="n">
        <f aca="false">AVERAGE(D33:D39)</f>
        <v>16.3157142857143</v>
      </c>
      <c r="O39" s="9" t="n">
        <f aca="false">E39-E38</f>
        <v>1</v>
      </c>
      <c r="P39" s="9" t="n">
        <f aca="false">ROUND(SUMIFS(Unit_Daily!G:G,Unit_Daily!A:A,A39)-D39,2)</f>
        <v>0</v>
      </c>
    </row>
    <row r="40" customFormat="false" ht="15" hidden="false" customHeight="false" outlineLevel="0" collapsed="false">
      <c r="A40" s="8" t="n">
        <v>46217</v>
      </c>
      <c r="B40" s="9" t="n">
        <v>1240</v>
      </c>
      <c r="C40" s="9" t="n">
        <v>15.03</v>
      </c>
      <c r="D40" s="9" t="n">
        <v>17.59</v>
      </c>
      <c r="E40" s="9" t="n">
        <v>15</v>
      </c>
      <c r="F40" s="9" t="n">
        <v>320</v>
      </c>
      <c r="G40" s="9"/>
      <c r="H40" s="9" t="n">
        <f aca="false">B40*24/1000</f>
        <v>29.76</v>
      </c>
      <c r="I40" s="10" t="n">
        <f aca="false">D40/H40</f>
        <v>0.591061827956989</v>
      </c>
      <c r="J40" s="9" t="n">
        <f aca="false">D40-C40</f>
        <v>2.56</v>
      </c>
      <c r="K40" s="10" t="n">
        <f aca="false">IF(C40=0,"",D40/C40)</f>
        <v>1.17032601463739</v>
      </c>
      <c r="L40" s="10" t="n">
        <f aca="false">(B40-F40)/B40</f>
        <v>0.741935483870968</v>
      </c>
      <c r="M40" s="9" t="str">
        <f aca="false">IF(A40&lt;DATE(2026,6,30),"1-Pre-outage",IF(A40&lt;DATE(2026,7,5),"2-Transition","3-Outage-heavy"))</f>
        <v>3-Outage-heavy</v>
      </c>
      <c r="N40" s="9" t="n">
        <f aca="false">AVERAGE(D34:D40)</f>
        <v>16.1857142857143</v>
      </c>
      <c r="O40" s="9" t="n">
        <f aca="false">E40-E39</f>
        <v>0</v>
      </c>
      <c r="P40" s="9" t="n">
        <f aca="false">ROUND(SUMIFS(Unit_Daily!G:G,Unit_Daily!A:A,A40)-D40,2)</f>
        <v>0</v>
      </c>
    </row>
    <row r="41" customFormat="false" ht="15" hidden="false" customHeight="false" outlineLevel="0" collapsed="false">
      <c r="A41" s="8" t="n">
        <v>46218</v>
      </c>
      <c r="B41" s="9" t="n">
        <v>1240</v>
      </c>
      <c r="C41" s="9" t="n">
        <v>15.03</v>
      </c>
      <c r="D41" s="9" t="n">
        <v>17.58</v>
      </c>
      <c r="E41" s="9" t="n">
        <v>16</v>
      </c>
      <c r="F41" s="9" t="n">
        <v>515</v>
      </c>
      <c r="G41" s="9"/>
      <c r="H41" s="9" t="n">
        <f aca="false">B41*24/1000</f>
        <v>29.76</v>
      </c>
      <c r="I41" s="10" t="n">
        <f aca="false">D41/H41</f>
        <v>0.590725806451613</v>
      </c>
      <c r="J41" s="9" t="n">
        <f aca="false">D41-C41</f>
        <v>2.55</v>
      </c>
      <c r="K41" s="10" t="n">
        <f aca="false">IF(C41=0,"",D41/C41)</f>
        <v>1.16966067864271</v>
      </c>
      <c r="L41" s="10" t="n">
        <f aca="false">(B41-F41)/B41</f>
        <v>0.584677419354839</v>
      </c>
      <c r="M41" s="9" t="str">
        <f aca="false">IF(A41&lt;DATE(2026,6,30),"1-Pre-outage",IF(A41&lt;DATE(2026,7,5),"2-Transition","3-Outage-heavy"))</f>
        <v>3-Outage-heavy</v>
      </c>
      <c r="N41" s="9" t="n">
        <f aca="false">AVERAGE(D35:D41)</f>
        <v>16.1028571428571</v>
      </c>
      <c r="O41" s="9" t="n">
        <f aca="false">E41-E40</f>
        <v>1</v>
      </c>
      <c r="P41" s="9" t="n">
        <f aca="false">ROUND(SUMIFS(Unit_Daily!G:G,Unit_Daily!A:A,A41)-D41,2)</f>
        <v>0</v>
      </c>
    </row>
    <row r="42" customFormat="false" ht="15" hidden="false" customHeight="false" outlineLevel="0" collapsed="false">
      <c r="A42" s="8" t="n">
        <v>46219</v>
      </c>
      <c r="B42" s="9" t="n">
        <v>1240</v>
      </c>
      <c r="C42" s="9" t="n">
        <v>11.36</v>
      </c>
      <c r="D42" s="9" t="n">
        <v>14.43</v>
      </c>
      <c r="E42" s="9" t="n">
        <v>16</v>
      </c>
      <c r="F42" s="9" t="n">
        <v>515</v>
      </c>
      <c r="G42" s="9"/>
      <c r="H42" s="9" t="n">
        <f aca="false">B42*24/1000</f>
        <v>29.76</v>
      </c>
      <c r="I42" s="10" t="n">
        <f aca="false">D42/H42</f>
        <v>0.484879032258065</v>
      </c>
      <c r="J42" s="9" t="n">
        <f aca="false">D42-C42</f>
        <v>3.07</v>
      </c>
      <c r="K42" s="10" t="n">
        <f aca="false">IF(C42=0,"",D42/C42)</f>
        <v>1.27024647887324</v>
      </c>
      <c r="L42" s="10" t="n">
        <f aca="false">(B42-F42)/B42</f>
        <v>0.584677419354839</v>
      </c>
      <c r="M42" s="9" t="str">
        <f aca="false">IF(A42&lt;DATE(2026,6,30),"1-Pre-outage",IF(A42&lt;DATE(2026,7,5),"2-Transition","3-Outage-heavy"))</f>
        <v>3-Outage-heavy</v>
      </c>
      <c r="N42" s="9" t="n">
        <f aca="false">AVERAGE(D36:D42)</f>
        <v>16.1228571428571</v>
      </c>
      <c r="O42" s="9" t="n">
        <f aca="false">E42-E41</f>
        <v>0</v>
      </c>
      <c r="P42" s="9" t="n">
        <f aca="false">ROUND(SUMIFS(Unit_Daily!G:G,Unit_Daily!A:A,A42)-D42,2)</f>
        <v>0</v>
      </c>
    </row>
    <row r="43" customFormat="false" ht="15" hidden="false" customHeight="false" outlineLevel="0" collapsed="false">
      <c r="A43" s="8" t="n">
        <v>46220</v>
      </c>
      <c r="B43" s="9" t="n">
        <v>1240</v>
      </c>
      <c r="C43" s="9" t="n">
        <v>11.36</v>
      </c>
      <c r="D43" s="9" t="n">
        <v>14.86</v>
      </c>
      <c r="E43" s="9" t="n">
        <v>16</v>
      </c>
      <c r="F43" s="9" t="n">
        <v>515</v>
      </c>
      <c r="G43" s="9"/>
      <c r="H43" s="9" t="n">
        <f aca="false">B43*24/1000</f>
        <v>29.76</v>
      </c>
      <c r="I43" s="10" t="n">
        <f aca="false">D43/H43</f>
        <v>0.499327956989247</v>
      </c>
      <c r="J43" s="9" t="n">
        <f aca="false">D43-C43</f>
        <v>3.5</v>
      </c>
      <c r="K43" s="10" t="n">
        <f aca="false">IF(C43=0,"",D43/C43)</f>
        <v>1.3080985915493</v>
      </c>
      <c r="L43" s="10" t="n">
        <f aca="false">(B43-F43)/B43</f>
        <v>0.584677419354839</v>
      </c>
      <c r="M43" s="9" t="str">
        <f aca="false">IF(A43&lt;DATE(2026,6,30),"1-Pre-outage",IF(A43&lt;DATE(2026,7,5),"2-Transition","3-Outage-heavy"))</f>
        <v>3-Outage-heavy</v>
      </c>
      <c r="N43" s="9" t="n">
        <f aca="false">AVERAGE(D37:D43)</f>
        <v>16.4028571428571</v>
      </c>
      <c r="O43" s="9" t="n">
        <f aca="false">E43-E42</f>
        <v>0</v>
      </c>
      <c r="P43" s="9" t="n">
        <f aca="false">ROUND(SUMIFS(Unit_Daily!G:G,Unit_Daily!A:A,A43)-D43,2)</f>
        <v>0</v>
      </c>
    </row>
    <row r="44" customFormat="false" ht="15" hidden="false" customHeight="false" outlineLevel="0" collapsed="false">
      <c r="A44" s="8" t="n">
        <v>46221</v>
      </c>
      <c r="B44" s="9" t="n">
        <v>1240</v>
      </c>
      <c r="C44" s="9" t="n">
        <v>11.36</v>
      </c>
      <c r="D44" s="9" t="n">
        <v>18.54</v>
      </c>
      <c r="E44" s="9" t="n">
        <v>16</v>
      </c>
      <c r="F44" s="9" t="n">
        <v>320</v>
      </c>
      <c r="G44" s="9"/>
      <c r="H44" s="9" t="n">
        <f aca="false">B44*24/1000</f>
        <v>29.76</v>
      </c>
      <c r="I44" s="10" t="n">
        <f aca="false">D44/H44</f>
        <v>0.622983870967742</v>
      </c>
      <c r="J44" s="9" t="n">
        <f aca="false">D44-C44</f>
        <v>7.18</v>
      </c>
      <c r="K44" s="10" t="n">
        <f aca="false">IF(C44=0,"",D44/C44)</f>
        <v>1.63204225352113</v>
      </c>
      <c r="L44" s="10" t="n">
        <f aca="false">(B44-F44)/B44</f>
        <v>0.741935483870968</v>
      </c>
      <c r="M44" s="9" t="str">
        <f aca="false">IF(A44&lt;DATE(2026,6,30),"1-Pre-outage",IF(A44&lt;DATE(2026,7,5),"2-Transition","3-Outage-heavy"))</f>
        <v>3-Outage-heavy</v>
      </c>
      <c r="N44" s="9" t="n">
        <f aca="false">AVERAGE(D38:D44)</f>
        <v>16.7042857142857</v>
      </c>
      <c r="O44" s="9" t="n">
        <f aca="false">E44-E43</f>
        <v>0</v>
      </c>
      <c r="P44" s="9" t="n">
        <f aca="false">ROUND(SUMIFS(Unit_Daily!G:G,Unit_Daily!A:A,A44)-D44,2)</f>
        <v>0</v>
      </c>
    </row>
    <row r="45" customFormat="false" ht="15" hidden="false" customHeight="false" outlineLevel="0" collapsed="false">
      <c r="A45" s="8" t="n">
        <v>46222</v>
      </c>
      <c r="B45" s="9" t="n">
        <v>1240</v>
      </c>
      <c r="C45" s="9" t="n">
        <v>11.36</v>
      </c>
      <c r="D45" s="9" t="n">
        <v>18.2</v>
      </c>
      <c r="E45" s="9" t="n">
        <v>15</v>
      </c>
      <c r="F45" s="9" t="n">
        <v>320</v>
      </c>
      <c r="G45" s="9"/>
      <c r="H45" s="9" t="n">
        <f aca="false">B45*24/1000</f>
        <v>29.76</v>
      </c>
      <c r="I45" s="10" t="n">
        <f aca="false">D45/H45</f>
        <v>0.611559139784946</v>
      </c>
      <c r="J45" s="9" t="n">
        <f aca="false">D45-C45</f>
        <v>6.84</v>
      </c>
      <c r="K45" s="10" t="n">
        <f aca="false">IF(C45=0,"",D45/C45)</f>
        <v>1.60211267605634</v>
      </c>
      <c r="L45" s="10" t="n">
        <f aca="false">(B45-F45)/B45</f>
        <v>0.741935483870968</v>
      </c>
      <c r="M45" s="9" t="str">
        <f aca="false">IF(A45&lt;DATE(2026,6,30),"1-Pre-outage",IF(A45&lt;DATE(2026,7,5),"2-Transition","3-Outage-heavy"))</f>
        <v>3-Outage-heavy</v>
      </c>
      <c r="N45" s="9" t="n">
        <f aca="false">AVERAGE(D39:D45)</f>
        <v>16.9457142857143</v>
      </c>
      <c r="O45" s="9" t="n">
        <f aca="false">E45-E44</f>
        <v>-1</v>
      </c>
      <c r="P45" s="9" t="n">
        <f aca="false">ROUND(SUMIFS(Unit_Daily!G:G,Unit_Daily!A:A,A45)-D45,2)</f>
        <v>0</v>
      </c>
    </row>
    <row r="46" customFormat="false" ht="15" hidden="false" customHeight="false" outlineLevel="0" collapsed="false">
      <c r="A46" s="8" t="n">
        <v>46223</v>
      </c>
      <c r="B46" s="9" t="n">
        <v>1240</v>
      </c>
      <c r="C46" s="9" t="n">
        <v>11.36</v>
      </c>
      <c r="D46" s="9" t="n">
        <v>18.24</v>
      </c>
      <c r="E46" s="9" t="n">
        <v>15</v>
      </c>
      <c r="F46" s="9" t="n">
        <v>320</v>
      </c>
      <c r="G46" s="9"/>
      <c r="H46" s="9" t="n">
        <f aca="false">B46*24/1000</f>
        <v>29.76</v>
      </c>
      <c r="I46" s="10" t="n">
        <f aca="false">D46/H46</f>
        <v>0.612903225806452</v>
      </c>
      <c r="J46" s="9" t="n">
        <f aca="false">D46-C46</f>
        <v>6.88</v>
      </c>
      <c r="K46" s="10" t="n">
        <f aca="false">IF(C46=0,"",D46/C46)</f>
        <v>1.6056338028169</v>
      </c>
      <c r="L46" s="10" t="n">
        <f aca="false">(B46-F46)/B46</f>
        <v>0.741935483870968</v>
      </c>
      <c r="M46" s="9" t="str">
        <f aca="false">IF(A46&lt;DATE(2026,6,30),"1-Pre-outage",IF(A46&lt;DATE(2026,7,5),"2-Transition","3-Outage-heavy"))</f>
        <v>3-Outage-heavy</v>
      </c>
      <c r="N46" s="9" t="n">
        <f aca="false">AVERAGE(D40:D46)</f>
        <v>17.0628571428571</v>
      </c>
      <c r="O46" s="9" t="n">
        <f aca="false">E46-E45</f>
        <v>0</v>
      </c>
      <c r="P46" s="9" t="n">
        <f aca="false">ROUND(SUMIFS(Unit_Daily!G:G,Unit_Daily!A:A,A46)-D46,2)</f>
        <v>0</v>
      </c>
    </row>
  </sheetData>
  <autoFilter ref="A1:P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</cols>
  <sheetData>
    <row r="1" customFormat="false" ht="30" hidden="false" customHeight="true" outlineLevel="0" collapsed="false">
      <c r="A1" s="4" t="s">
        <v>35</v>
      </c>
      <c r="B1" s="4" t="s">
        <v>37</v>
      </c>
    </row>
    <row r="2" customFormat="false" ht="15" hidden="false" customHeight="false" outlineLevel="0" collapsed="false">
      <c r="A2" s="6" t="s">
        <v>129</v>
      </c>
      <c r="B2" s="6" t="n">
        <v>110</v>
      </c>
    </row>
    <row r="3" customFormat="false" ht="15" hidden="false" customHeight="false" outlineLevel="0" collapsed="false">
      <c r="A3" s="6" t="s">
        <v>130</v>
      </c>
      <c r="B3" s="6" t="n">
        <v>110</v>
      </c>
    </row>
    <row r="4" customFormat="false" ht="15" hidden="false" customHeight="false" outlineLevel="0" collapsed="false">
      <c r="A4" s="6" t="s">
        <v>131</v>
      </c>
      <c r="B4" s="6" t="n">
        <v>210</v>
      </c>
    </row>
    <row r="5" customFormat="false" ht="15" hidden="false" customHeight="false" outlineLevel="0" collapsed="false">
      <c r="A5" s="6" t="s">
        <v>132</v>
      </c>
      <c r="B5" s="6" t="n">
        <v>210</v>
      </c>
    </row>
    <row r="6" customFormat="false" ht="15" hidden="false" customHeight="false" outlineLevel="0" collapsed="false">
      <c r="A6" s="6" t="s">
        <v>133</v>
      </c>
      <c r="B6" s="6" t="n">
        <v>210</v>
      </c>
    </row>
    <row r="7" customFormat="false" ht="15" hidden="false" customHeight="false" outlineLevel="0" collapsed="false">
      <c r="A7" s="6" t="s">
        <v>134</v>
      </c>
      <c r="B7" s="6" t="n">
        <v>195</v>
      </c>
    </row>
    <row r="8" customFormat="false" ht="15" hidden="false" customHeight="false" outlineLevel="0" collapsed="false">
      <c r="A8" s="6" t="s">
        <v>135</v>
      </c>
      <c r="B8" s="6" t="n">
        <v>195</v>
      </c>
    </row>
    <row r="9" customFormat="false" ht="15" hidden="false" customHeight="false" outlineLevel="0" collapsed="false">
      <c r="A9" s="6" t="s">
        <v>136</v>
      </c>
      <c r="B9" s="6" t="n">
        <v>1240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8"/>
  </cols>
  <sheetData>
    <row r="1" customFormat="false" ht="30" hidden="false" customHeight="true" outlineLevel="0" collapsed="false">
      <c r="A1" s="4" t="s">
        <v>137</v>
      </c>
      <c r="B1" s="4" t="s">
        <v>138</v>
      </c>
    </row>
    <row r="2" customFormat="false" ht="15" hidden="false" customHeight="false" outlineLevel="0" collapsed="false">
      <c r="A2" s="6" t="s">
        <v>139</v>
      </c>
      <c r="B2" s="6" t="s">
        <v>140</v>
      </c>
    </row>
    <row r="3" customFormat="false" ht="15" hidden="false" customHeight="false" outlineLevel="0" collapsed="false">
      <c r="A3" s="6" t="s">
        <v>141</v>
      </c>
      <c r="B3" s="6" t="n">
        <v>45</v>
      </c>
    </row>
    <row r="4" customFormat="false" ht="15" hidden="false" customHeight="false" outlineLevel="0" collapsed="false">
      <c r="A4" s="6" t="s">
        <v>142</v>
      </c>
      <c r="B4" s="6" t="n">
        <v>45</v>
      </c>
    </row>
    <row r="5" customFormat="false" ht="15" hidden="false" customHeight="false" outlineLevel="0" collapsed="false">
      <c r="A5" s="6" t="s">
        <v>143</v>
      </c>
      <c r="B5" s="6" t="n">
        <v>360</v>
      </c>
    </row>
    <row r="6" customFormat="false" ht="15" hidden="false" customHeight="false" outlineLevel="0" collapsed="false">
      <c r="A6" s="6" t="s">
        <v>144</v>
      </c>
      <c r="B6" s="6" t="n">
        <v>360</v>
      </c>
    </row>
    <row r="7" customFormat="false" ht="15" hidden="false" customHeight="false" outlineLevel="0" collapsed="false">
      <c r="A7" s="6" t="s">
        <v>145</v>
      </c>
      <c r="B7" s="6" t="n">
        <v>0</v>
      </c>
    </row>
    <row r="8" customFormat="false" ht="15" hidden="false" customHeight="false" outlineLevel="0" collapsed="false">
      <c r="A8" s="6" t="s">
        <v>146</v>
      </c>
      <c r="B8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30" hidden="false" customHeight="true" outlineLevel="0" collapsed="false">
      <c r="A1" s="4" t="s">
        <v>147</v>
      </c>
      <c r="B1" s="4" t="s">
        <v>148</v>
      </c>
      <c r="C1" s="4" t="s">
        <v>149</v>
      </c>
      <c r="D1" s="4" t="s">
        <v>150</v>
      </c>
    </row>
    <row r="2" customFormat="false" ht="15" hidden="false" customHeight="false" outlineLevel="0" collapsed="false">
      <c r="A2" s="12" t="s">
        <v>151</v>
      </c>
      <c r="B2" s="12" t="s">
        <v>32</v>
      </c>
      <c r="C2" s="12" t="s">
        <v>152</v>
      </c>
      <c r="D2" s="12" t="s">
        <v>153</v>
      </c>
    </row>
    <row r="3" customFormat="false" ht="15" hidden="false" customHeight="false" outlineLevel="0" collapsed="false">
      <c r="A3" s="12" t="s">
        <v>151</v>
      </c>
      <c r="B3" s="12" t="s">
        <v>35</v>
      </c>
      <c r="C3" s="12" t="s">
        <v>154</v>
      </c>
      <c r="D3" s="12" t="s">
        <v>155</v>
      </c>
    </row>
    <row r="4" customFormat="false" ht="15" hidden="false" customHeight="false" outlineLevel="0" collapsed="false">
      <c r="A4" s="12" t="s">
        <v>151</v>
      </c>
      <c r="B4" s="12" t="s">
        <v>105</v>
      </c>
      <c r="C4" s="12" t="s">
        <v>156</v>
      </c>
      <c r="D4" s="12" t="s">
        <v>157</v>
      </c>
    </row>
    <row r="5" customFormat="false" ht="23.85" hidden="false" customHeight="false" outlineLevel="0" collapsed="false">
      <c r="A5" s="12" t="s">
        <v>151</v>
      </c>
      <c r="B5" s="12" t="s">
        <v>36</v>
      </c>
      <c r="C5" s="12" t="s">
        <v>158</v>
      </c>
      <c r="D5" s="12" t="s">
        <v>155</v>
      </c>
    </row>
    <row r="6" customFormat="false" ht="15" hidden="false" customHeight="false" outlineLevel="0" collapsed="false">
      <c r="A6" s="12" t="s">
        <v>151</v>
      </c>
      <c r="B6" s="12" t="s">
        <v>106</v>
      </c>
      <c r="C6" s="12" t="s">
        <v>159</v>
      </c>
      <c r="D6" s="12" t="s">
        <v>155</v>
      </c>
    </row>
    <row r="7" customFormat="false" ht="15" hidden="false" customHeight="false" outlineLevel="0" collapsed="false">
      <c r="A7" s="12" t="s">
        <v>151</v>
      </c>
      <c r="B7" s="12" t="s">
        <v>107</v>
      </c>
      <c r="C7" s="12" t="s">
        <v>160</v>
      </c>
      <c r="D7" s="12" t="s">
        <v>155</v>
      </c>
    </row>
    <row r="8" customFormat="false" ht="15" hidden="false" customHeight="false" outlineLevel="0" collapsed="false">
      <c r="A8" s="12" t="s">
        <v>151</v>
      </c>
      <c r="B8" s="12" t="s">
        <v>108</v>
      </c>
      <c r="C8" s="12" t="s">
        <v>161</v>
      </c>
      <c r="D8" s="12" t="s">
        <v>155</v>
      </c>
    </row>
    <row r="9" customFormat="false" ht="15" hidden="false" customHeight="false" outlineLevel="0" collapsed="false">
      <c r="A9" s="12" t="s">
        <v>151</v>
      </c>
      <c r="B9" s="12" t="s">
        <v>109</v>
      </c>
      <c r="C9" s="12" t="s">
        <v>162</v>
      </c>
      <c r="D9" s="12" t="s">
        <v>155</v>
      </c>
    </row>
    <row r="10" customFormat="false" ht="23.85" hidden="false" customHeight="false" outlineLevel="0" collapsed="false">
      <c r="A10" s="12" t="s">
        <v>151</v>
      </c>
      <c r="B10" s="12" t="s">
        <v>163</v>
      </c>
      <c r="C10" s="12" t="s">
        <v>164</v>
      </c>
      <c r="D10" s="12" t="s">
        <v>155</v>
      </c>
    </row>
    <row r="11" customFormat="false" ht="15" hidden="false" customHeight="false" outlineLevel="0" collapsed="false">
      <c r="A11" s="12" t="s">
        <v>151</v>
      </c>
      <c r="B11" s="12" t="s">
        <v>46</v>
      </c>
      <c r="C11" s="12" t="s">
        <v>165</v>
      </c>
      <c r="D11" s="12" t="s">
        <v>155</v>
      </c>
    </row>
    <row r="12" customFormat="false" ht="15" hidden="false" customHeight="false" outlineLevel="0" collapsed="false">
      <c r="A12" s="12" t="s">
        <v>151</v>
      </c>
      <c r="B12" s="12" t="s">
        <v>112</v>
      </c>
      <c r="C12" s="12" t="s">
        <v>166</v>
      </c>
      <c r="D12" s="12" t="s">
        <v>167</v>
      </c>
    </row>
    <row r="13" customFormat="false" ht="15" hidden="false" customHeight="false" outlineLevel="0" collapsed="false">
      <c r="A13" s="12" t="s">
        <v>151</v>
      </c>
      <c r="B13" s="12" t="s">
        <v>113</v>
      </c>
      <c r="C13" s="12" t="s">
        <v>168</v>
      </c>
      <c r="D13" s="12" t="s">
        <v>169</v>
      </c>
    </row>
    <row r="14" customFormat="false" ht="15" hidden="false" customHeight="false" outlineLevel="0" collapsed="false">
      <c r="A14" s="12" t="s">
        <v>151</v>
      </c>
      <c r="B14" s="12" t="s">
        <v>114</v>
      </c>
      <c r="C14" s="12" t="s">
        <v>170</v>
      </c>
      <c r="D14" s="12" t="s">
        <v>171</v>
      </c>
    </row>
    <row r="15" customFormat="false" ht="15" hidden="false" customHeight="false" outlineLevel="0" collapsed="false">
      <c r="A15" s="12" t="s">
        <v>151</v>
      </c>
      <c r="B15" s="12" t="s">
        <v>115</v>
      </c>
      <c r="C15" s="12" t="s">
        <v>172</v>
      </c>
      <c r="D15" s="12" t="s">
        <v>173</v>
      </c>
    </row>
    <row r="16" customFormat="false" ht="15" hidden="false" customHeight="false" outlineLevel="0" collapsed="false">
      <c r="A16" s="12" t="s">
        <v>151</v>
      </c>
      <c r="B16" s="12" t="s">
        <v>116</v>
      </c>
      <c r="C16" s="12" t="s">
        <v>174</v>
      </c>
      <c r="D16" s="12" t="s">
        <v>175</v>
      </c>
    </row>
    <row r="17" customFormat="false" ht="15" hidden="false" customHeight="false" outlineLevel="0" collapsed="false">
      <c r="A17" s="12" t="s">
        <v>151</v>
      </c>
      <c r="B17" s="12" t="s">
        <v>117</v>
      </c>
      <c r="C17" s="12" t="s">
        <v>176</v>
      </c>
      <c r="D17" s="12" t="s">
        <v>177</v>
      </c>
    </row>
    <row r="18" customFormat="false" ht="15" hidden="false" customHeight="false" outlineLevel="0" collapsed="false">
      <c r="A18" s="12" t="s">
        <v>151</v>
      </c>
      <c r="B18" s="12" t="s">
        <v>120</v>
      </c>
      <c r="C18" s="12" t="s">
        <v>178</v>
      </c>
      <c r="D18" s="12" t="s">
        <v>179</v>
      </c>
    </row>
    <row r="19" customFormat="false" ht="23.85" hidden="false" customHeight="false" outlineLevel="0" collapsed="false">
      <c r="A19" s="12" t="s">
        <v>151</v>
      </c>
      <c r="B19" s="12" t="s">
        <v>121</v>
      </c>
      <c r="C19" s="12" t="s">
        <v>180</v>
      </c>
      <c r="D19" s="12" t="s">
        <v>181</v>
      </c>
    </row>
    <row r="20" customFormat="false" ht="15" hidden="false" customHeight="false" outlineLevel="0" collapsed="false">
      <c r="A20" s="12" t="s">
        <v>151</v>
      </c>
      <c r="B20" s="12" t="s">
        <v>122</v>
      </c>
      <c r="C20" s="12" t="s">
        <v>182</v>
      </c>
      <c r="D20" s="12" t="s">
        <v>183</v>
      </c>
    </row>
    <row r="21" customFormat="false" ht="23.85" hidden="false" customHeight="false" outlineLevel="0" collapsed="false">
      <c r="A21" s="12" t="s">
        <v>151</v>
      </c>
      <c r="B21" s="12" t="s">
        <v>123</v>
      </c>
      <c r="C21" s="12" t="s">
        <v>184</v>
      </c>
      <c r="D21" s="12" t="s">
        <v>185</v>
      </c>
    </row>
    <row r="22" customFormat="false" ht="15" hidden="false" customHeight="false" outlineLevel="0" collapsed="false">
      <c r="A22" s="12" t="s">
        <v>186</v>
      </c>
      <c r="B22" s="12" t="s">
        <v>124</v>
      </c>
      <c r="C22" s="12" t="s">
        <v>187</v>
      </c>
      <c r="D22" s="12" t="s">
        <v>155</v>
      </c>
    </row>
    <row r="23" customFormat="false" ht="23.85" hidden="false" customHeight="false" outlineLevel="0" collapsed="false">
      <c r="A23" s="12" t="s">
        <v>186</v>
      </c>
      <c r="B23" s="12" t="s">
        <v>125</v>
      </c>
      <c r="C23" s="12" t="s">
        <v>188</v>
      </c>
      <c r="D23" s="12" t="s">
        <v>189</v>
      </c>
    </row>
    <row r="24" customFormat="false" ht="15" hidden="false" customHeight="false" outlineLevel="0" collapsed="false">
      <c r="A24" s="12" t="s">
        <v>186</v>
      </c>
      <c r="B24" s="12" t="s">
        <v>126</v>
      </c>
      <c r="C24" s="12" t="s">
        <v>190</v>
      </c>
      <c r="D24" s="12" t="s">
        <v>191</v>
      </c>
    </row>
    <row r="25" customFormat="false" ht="15" hidden="false" customHeight="false" outlineLevel="0" collapsed="false">
      <c r="A25" s="12" t="s">
        <v>186</v>
      </c>
      <c r="B25" s="12" t="s">
        <v>127</v>
      </c>
      <c r="C25" s="12" t="s">
        <v>192</v>
      </c>
      <c r="D25" s="12" t="s">
        <v>193</v>
      </c>
    </row>
    <row r="26" customFormat="false" ht="23.85" hidden="false" customHeight="false" outlineLevel="0" collapsed="false">
      <c r="A26" s="12" t="s">
        <v>186</v>
      </c>
      <c r="B26" s="12" t="s">
        <v>128</v>
      </c>
      <c r="C26" s="12" t="s">
        <v>194</v>
      </c>
      <c r="D26" s="12" t="s">
        <v>195</v>
      </c>
    </row>
    <row r="27" customFormat="false" ht="23.85" hidden="false" customHeight="false" outlineLevel="0" collapsed="false">
      <c r="A27" s="12" t="s">
        <v>196</v>
      </c>
      <c r="B27" s="12" t="s">
        <v>197</v>
      </c>
      <c r="C27" s="12" t="s">
        <v>198</v>
      </c>
      <c r="D27" s="12" t="s">
        <v>199</v>
      </c>
    </row>
    <row r="29" customFormat="false" ht="15" hidden="false" customHeight="false" outlineLevel="0" collapsed="false">
      <c r="A29" s="13" t="s">
        <v>200</v>
      </c>
    </row>
    <row r="30" customFormat="false" ht="15" hidden="false" customHeight="false" outlineLevel="0" collapsed="false">
      <c r="A30" s="14" t="s">
        <v>201</v>
      </c>
      <c r="B30" s="14"/>
      <c r="C30" s="14"/>
      <c r="D30" s="14"/>
    </row>
    <row r="31" customFormat="false" ht="15" hidden="false" customHeight="false" outlineLevel="0" collapsed="false">
      <c r="A31" s="14" t="s">
        <v>202</v>
      </c>
      <c r="B31" s="14"/>
      <c r="C31" s="14"/>
      <c r="D31" s="14"/>
    </row>
    <row r="32" customFormat="false" ht="15" hidden="false" customHeight="false" outlineLevel="0" collapsed="false">
      <c r="A32" s="14" t="s">
        <v>203</v>
      </c>
      <c r="B32" s="14"/>
      <c r="C32" s="14"/>
      <c r="D32" s="14"/>
    </row>
    <row r="33" customFormat="false" ht="15" hidden="false" customHeight="false" outlineLevel="0" collapsed="false">
      <c r="A33" s="14" t="s">
        <v>204</v>
      </c>
      <c r="B33" s="14"/>
      <c r="C33" s="14"/>
      <c r="D33" s="14"/>
    </row>
  </sheetData>
  <mergeCells count="4">
    <mergeCell ref="A30:D30"/>
    <mergeCell ref="A31:D31"/>
    <mergeCell ref="A32:D32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2026-10-02T07:11:41Z</dcterms:created>
  <dc:creator>openpyxl</dc:creator>
  <dc:description/>
  <dc:language>en-US</dc:language>
  <cp:lastModifiedBy/>
  <dcterms:modified xsi:type="dcterms:W3CDTF">2026-10-02T07:11:41Z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